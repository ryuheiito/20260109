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85B1910-90C3-4B21-9290-95D5F7AD43F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B9" i="1" l="1"/>
  <c r="B8" i="1"/>
  <c r="B7" i="1"/>
  <c r="B6" i="1"/>
</calcChain>
</file>

<file path=xl/sharedStrings.xml><?xml version="1.0" encoding="utf-8"?>
<sst xmlns="http://schemas.openxmlformats.org/spreadsheetml/2006/main" count="51" uniqueCount="51">
  <si>
    <t>PanelName</t>
  </si>
  <si>
    <t>Module Cost</t>
  </si>
  <si>
    <t>Mounting Cost</t>
  </si>
  <si>
    <t>Electrical Equipment Cost</t>
  </si>
  <si>
    <t>Other Cost</t>
  </si>
  <si>
    <t>Total Cost</t>
  </si>
  <si>
    <t>Module 10-Year Loss</t>
  </si>
  <si>
    <t>Module 10-Year Loss %</t>
  </si>
  <si>
    <t>Mounting 10-Year Loss</t>
  </si>
  <si>
    <t>Mounting 10-Year Loss %</t>
  </si>
  <si>
    <t>Electrical Equipment 10-Year Loss</t>
  </si>
  <si>
    <t>Electrical Equipment 10-Year Loss %</t>
  </si>
  <si>
    <t>Other 10-Year Loss</t>
  </si>
  <si>
    <t>Other 10-Year Loss %</t>
  </si>
  <si>
    <t>Total 10-Year Loss</t>
  </si>
  <si>
    <t>Module 50-Year Loss</t>
  </si>
  <si>
    <t>Module 50-Year Loss %</t>
  </si>
  <si>
    <t>Mounting 50-Year Loss</t>
  </si>
  <si>
    <t>Mounting 50-Year Loss %</t>
  </si>
  <si>
    <t>Electrical Equipment 50-Year Loss</t>
  </si>
  <si>
    <t>Electrical Equipment 50-Year Loss %</t>
  </si>
  <si>
    <t>Other 50-Year Loss</t>
  </si>
  <si>
    <t>Other 50-Year Loss %</t>
  </si>
  <si>
    <t>Total 50-Year Loss</t>
  </si>
  <si>
    <t>Total 50-Year Loss %</t>
  </si>
  <si>
    <t>Module 100-Year Loss</t>
  </si>
  <si>
    <t>Module 100-Year Loss %</t>
  </si>
  <si>
    <t>Mounting 100-Year Loss</t>
  </si>
  <si>
    <t>Mounting 100-Year Loss %</t>
  </si>
  <si>
    <t>Electrical Equipment 100-Year Loss</t>
  </si>
  <si>
    <t>Electrical Equipment 100-Year Loss %</t>
  </si>
  <si>
    <t>Other 100-Year Loss</t>
  </si>
  <si>
    <t>Other 100-Year Loss %</t>
  </si>
  <si>
    <t>Total 100-Year Loss</t>
  </si>
  <si>
    <t>Total 100-Year Loss %</t>
  </si>
  <si>
    <t>Module 475-Year Loss</t>
  </si>
  <si>
    <t>Module 475-Year Loss %</t>
  </si>
  <si>
    <t>Mounting 475-Year Loss</t>
  </si>
  <si>
    <t>Mounting 475-Year Loss %</t>
  </si>
  <si>
    <t>Electrical Equipment 475-Year Loss</t>
  </si>
  <si>
    <t>Electrical Equipment 475-Year Loss %</t>
  </si>
  <si>
    <t>Other 475-Year Loss</t>
  </si>
  <si>
    <t>Other 475-Year Loss %</t>
  </si>
  <si>
    <t>Total 475-Year Loss</t>
  </si>
  <si>
    <t>Total 475-Year Loss %</t>
  </si>
  <si>
    <t>↓に貼り付け</t>
    <rPh sb="2" eb="3">
      <t>ハ</t>
    </rPh>
    <rPh sb="4" eb="5">
      <t>ツ</t>
    </rPh>
    <phoneticPr fontId="1"/>
  </si>
  <si>
    <t>確率年</t>
    <rPh sb="0" eb="3">
      <t>カクリツネン</t>
    </rPh>
    <phoneticPr fontId="1"/>
  </si>
  <si>
    <t>Total 10-Year Loss %</t>
  </si>
  <si>
    <t>被害率(%)</t>
    <rPh sb="0" eb="3">
      <t>ヒガイリツ</t>
    </rPh>
    <phoneticPr fontId="1"/>
  </si>
  <si>
    <t>a発電所</t>
  </si>
  <si>
    <t>金額(円)</t>
    <rPh sb="0" eb="2">
      <t>キンガク</t>
    </rPh>
    <rPh sb="3" eb="4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</si>
</sst>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再調達価格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a発電所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Sheet1!$B$2:$F$2</c:f>
              <c:strCache>
                <c:ptCount val="5"/>
                <c:pt idx="0">
                  <c:v>Module Cost</c:v>
                </c:pt>
                <c:pt idx="1">
                  <c:v>Mounting Cost</c:v>
                </c:pt>
                <c:pt idx="2">
                  <c:v>Electrical Equipment Cost</c:v>
                </c:pt>
                <c:pt idx="3">
                  <c:v>Other Cost</c:v>
                </c:pt>
                <c:pt idx="4">
                  <c:v>Total Cost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35000000</c:v>
                </c:pt>
                <c:pt idx="1">
                  <c:v>5000000</c:v>
                </c:pt>
                <c:pt idx="2">
                  <c:v>5000000</c:v>
                </c:pt>
                <c:pt idx="3">
                  <c:v>5000000</c:v>
                </c:pt>
                <c:pt idx="4">
                  <c:v>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2-4B9C-91DF-C9C85F092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73439"/>
        <c:axId val="16076351"/>
      </c:barChart>
      <c:catAx>
        <c:axId val="1607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76351"/>
        <c:crosses val="autoZero"/>
        <c:auto val="1"/>
        <c:lblAlgn val="ctr"/>
        <c:lblOffset val="100"/>
        <c:noMultiLvlLbl val="0"/>
      </c:catAx>
      <c:valAx>
        <c:axId val="1607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7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475</c:v>
                </c:pt>
              </c:numCache>
            </c:numRef>
          </c:xVal>
          <c:yVal>
            <c:numRef>
              <c:f>Sheet1!$B$6:$B$9</c:f>
              <c:numCache>
                <c:formatCode>General</c:formatCode>
                <c:ptCount val="4"/>
                <c:pt idx="0">
                  <c:v>0</c:v>
                </c:pt>
                <c:pt idx="1">
                  <c:v>112056.202089372</c:v>
                </c:pt>
                <c:pt idx="2">
                  <c:v>787131.36192438204</c:v>
                </c:pt>
                <c:pt idx="3">
                  <c:v>3221935.3561553401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1-47B3-A257-5931B9D9B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398367"/>
        <c:axId val="274402111"/>
      </c:scatterChart>
      <c:valAx>
        <c:axId val="2743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確率年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4402111"/>
        <c:crosses val="autoZero"/>
        <c:crossBetween val="midCat"/>
      </c:valAx>
      <c:valAx>
        <c:axId val="27440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想定被害額</a:t>
                </a:r>
                <a:r>
                  <a:rPr lang="en-US" altLang="ja-JP"/>
                  <a:t>(</a:t>
                </a:r>
                <a:r>
                  <a:rPr lang="ja-JP" altLang="en-US"/>
                  <a:t>円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7439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11206</xdr:rowOff>
    </xdr:from>
    <xdr:to>
      <xdr:col>5</xdr:col>
      <xdr:colOff>593912</xdr:colOff>
      <xdr:row>20</xdr:row>
      <xdr:rowOff>219076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677956</xdr:colOff>
      <xdr:row>9</xdr:row>
      <xdr:rowOff>219635</xdr:rowOff>
    </xdr:from>
    <xdr:to>
      <xdr:col>13</xdr:col>
      <xdr:colOff>291352</xdr:colOff>
      <xdr:row>21</xdr:row>
      <xdr:rowOff>22412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"/>
  <sheetViews>
    <sheetView tabSelected="1" zoomScale="85" zoomScaleNormal="85" workbookViewId="0">
      <selection activeCell="J8" sqref="J8"/>
    </sheetView>
  </sheetViews>
  <sheetFormatPr defaultRowHeight="18.75" x14ac:dyDescent="0.4"/>
  <cols>
    <col min="1" max="2" width="9" customWidth="1"/>
  </cols>
  <sheetData>
    <row r="1" spans="1:46" x14ac:dyDescent="0.4">
      <c r="A1" t="s">
        <v>45</v>
      </c>
    </row>
    <row r="2" spans="1:46" x14ac:dyDescent="0.4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47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</row>
    <row r="3" spans="1:46" x14ac:dyDescent="0.4">
      <c r="A3" s="1" t="s">
        <v>49</v>
      </c>
      <c r="B3" s="1">
        <v>35000000</v>
      </c>
      <c r="C3" s="1">
        <v>5000000</v>
      </c>
      <c r="D3" s="1">
        <v>5000000</v>
      </c>
      <c r="E3" s="1">
        <v>5000000</v>
      </c>
      <c r="F3" s="1">
        <v>50000000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101869.274626702</v>
      </c>
      <c r="R3" s="1">
        <v>0.29105507036200601</v>
      </c>
      <c r="S3" s="1">
        <v>1455.2753518100301</v>
      </c>
      <c r="T3" s="1">
        <v>2.9105507036200601E-2</v>
      </c>
      <c r="U3" s="1">
        <v>4365.8260554300996</v>
      </c>
      <c r="V3" s="1">
        <v>8.7316521108601997E-2</v>
      </c>
      <c r="W3" s="1">
        <v>4365.8260554300996</v>
      </c>
      <c r="X3" s="1">
        <v>8.7316521108601997E-2</v>
      </c>
      <c r="Y3" s="1">
        <v>112056.202089372</v>
      </c>
      <c r="Z3" s="1">
        <v>0.22411240417874501</v>
      </c>
      <c r="AA3" s="1">
        <v>715573.96538580197</v>
      </c>
      <c r="AB3" s="1">
        <v>2.0444970439594301</v>
      </c>
      <c r="AC3" s="1">
        <v>10222.485219797099</v>
      </c>
      <c r="AD3" s="1">
        <v>0.20444970439594301</v>
      </c>
      <c r="AE3" s="1">
        <v>30667.4556593915</v>
      </c>
      <c r="AF3" s="1">
        <v>0.61334911318783003</v>
      </c>
      <c r="AG3" s="1">
        <v>30667.4556593915</v>
      </c>
      <c r="AH3" s="1">
        <v>0.61334911318783003</v>
      </c>
      <c r="AI3" s="1">
        <v>787131.36192438204</v>
      </c>
      <c r="AJ3" s="1">
        <v>1.5742627238487601</v>
      </c>
      <c r="AK3" s="1">
        <v>2929032.1419593999</v>
      </c>
      <c r="AL3" s="1">
        <v>8.3686632627411601</v>
      </c>
      <c r="AM3" s="1">
        <v>41843.3163137058</v>
      </c>
      <c r="AN3" s="1">
        <v>0.83686632627411595</v>
      </c>
      <c r="AO3" s="1">
        <v>125529.94894111701</v>
      </c>
      <c r="AP3" s="1">
        <v>2.51059897882234</v>
      </c>
      <c r="AQ3" s="1">
        <v>125529.94894111701</v>
      </c>
      <c r="AR3" s="1">
        <v>2.51059897882234</v>
      </c>
      <c r="AS3" s="1">
        <v>3221935.3561553401</v>
      </c>
      <c r="AT3" s="1">
        <v>6.4438707123106997</v>
      </c>
    </row>
    <row r="5" spans="1:46" x14ac:dyDescent="0.4">
      <c r="A5" s="3" t="s">
        <v>46</v>
      </c>
      <c r="B5" s="3" t="s">
        <v>50</v>
      </c>
      <c r="C5" s="3" t="s">
        <v>48</v>
      </c>
    </row>
    <row r="6" spans="1:46" x14ac:dyDescent="0.4">
      <c r="A6" s="3">
        <v>10</v>
      </c>
      <c r="B6" s="3">
        <f>O3</f>
        <v>0</v>
      </c>
      <c r="C6" s="3">
        <f>P3</f>
        <v>0</v>
      </c>
    </row>
    <row r="7" spans="1:46" x14ac:dyDescent="0.4">
      <c r="A7" s="4">
        <v>50</v>
      </c>
      <c r="B7" s="3">
        <f>Y3</f>
        <v>112056.202089372</v>
      </c>
      <c r="C7" s="3">
        <f>Z3</f>
        <v>0.22411240417874501</v>
      </c>
    </row>
    <row r="8" spans="1:46" x14ac:dyDescent="0.4">
      <c r="A8" s="4">
        <v>100</v>
      </c>
      <c r="B8" s="3">
        <f>AI3</f>
        <v>787131.36192438204</v>
      </c>
      <c r="C8" s="3">
        <f>AJ3</f>
        <v>1.5742627238487601</v>
      </c>
    </row>
    <row r="9" spans="1:46" x14ac:dyDescent="0.4">
      <c r="A9" s="5">
        <v>475</v>
      </c>
      <c r="B9" s="6">
        <f>AS3</f>
        <v>3221935.3561553401</v>
      </c>
      <c r="C9" s="6">
        <f>AT3</f>
        <v>6.4438707123106997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2025-04-10T07:30:56Z</dcterms:modified>
</cp:coreProperties>
</file>