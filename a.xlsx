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arxgroup.sharepoint.com/sites/SGET1/Shared Documents/003. MA横断管理/保険代理店(契約)/3.三井住友海上火災保険/@保険契約/★21ブラウン案件契約(2026.2.28～)/1.PMLレポート手配(インターリスク総研)/資料/"/>
    </mc:Choice>
  </mc:AlternateContent>
  <xr:revisionPtr revIDLastSave="608" documentId="13_ncr:1_{E731BC87-5F19-4164-B083-1BB08CB48958}" xr6:coauthVersionLast="47" xr6:coauthVersionMax="47" xr10:uidLastSave="{ACE54FCE-0D18-4052-A206-543BFFAC8C59}"/>
  <bookViews>
    <workbookView xWindow="-108" yWindow="-108" windowWidth="23256" windowHeight="13896" firstSheet="12" xr2:uid="{FD786963-E32A-419D-8273-FDC36D5C08F7}"/>
  </bookViews>
  <sheets>
    <sheet name="SGET芦北" sheetId="1" r:id="rId1"/>
    <sheet name="SGET秋田" sheetId="3" r:id="rId2"/>
    <sheet name="SGET富山" sheetId="4" r:id="rId3"/>
    <sheet name="SGET中井" sheetId="5" r:id="rId4"/>
    <sheet name="SGET釧路" sheetId="6" r:id="rId5"/>
    <sheet name="SGET常陸大宮" sheetId="7" r:id="rId6"/>
    <sheet name="SGET栗原" sheetId="8" r:id="rId7"/>
    <sheet name="SGET神栖" sheetId="9" r:id="rId8"/>
    <sheet name="SGET栃木" sheetId="10" r:id="rId9"/>
    <sheet name="SGET行方" sheetId="11" r:id="rId10"/>
    <sheet name="SGET木更津" sheetId="12" r:id="rId11"/>
    <sheet name="SGET南相馬" sheetId="13" r:id="rId12"/>
    <sheet name="SGET原町南" sheetId="14" r:id="rId13"/>
    <sheet name="片品(架台一覧)" sheetId="18" r:id="rId14"/>
    <sheet name="SGET片品(鋼製-ゴルフ場)" sheetId="15" r:id="rId15"/>
    <sheet name="SGET片品(ｱﾙﾐ製-ゴルフ場)" sheetId="19" r:id="rId16"/>
    <sheet name="SGET片品(ｱﾙﾐ製-北スキー場)" sheetId="21" r:id="rId17"/>
  </sheets>
  <definedNames>
    <definedName name="_xlnm.Print_Area" localSheetId="0">SGET芦北!$A$1:$G$69</definedName>
    <definedName name="_xlnm.Print_Area" localSheetId="4">SGET釧路!$A$1:$G$69</definedName>
    <definedName name="_xlnm.Print_Area" localSheetId="6">SGET栗原!$A$1:$G$69</definedName>
    <definedName name="_xlnm.Print_Area" localSheetId="12">SGET原町南!$A$1:$G$69</definedName>
    <definedName name="_xlnm.Print_Area" localSheetId="9">SGET行方!$A$1:$G$69</definedName>
    <definedName name="_xlnm.Print_Area" localSheetId="1">SGET秋田!$A$1:$G$42</definedName>
    <definedName name="_xlnm.Print_Area" localSheetId="5">SGET常陸大宮!$A$1:$G$69</definedName>
    <definedName name="_xlnm.Print_Area" localSheetId="7">SGET神栖!$A$1:$G$69</definedName>
    <definedName name="_xlnm.Print_Area" localSheetId="3">SGET中井!$A$1:$G$69</definedName>
    <definedName name="_xlnm.Print_Area" localSheetId="8">SGET栃木!$A$1:$G$69</definedName>
    <definedName name="_xlnm.Print_Area" localSheetId="11">SGET南相馬!$A$1:$G$69</definedName>
    <definedName name="_xlnm.Print_Area" localSheetId="2">SGET富山!$A$1:$G$69</definedName>
    <definedName name="_xlnm.Print_Area" localSheetId="15">'SGET片品(ｱﾙﾐ製-ゴルフ場)'!$A$1:$G$69</definedName>
    <definedName name="_xlnm.Print_Area" localSheetId="16">'SGET片品(ｱﾙﾐ製-北スキー場)'!$A$1:$G$69</definedName>
    <definedName name="_xlnm.Print_Area" localSheetId="14">'SGET片品(鋼製-ゴルフ場)'!$A$1:$G$69</definedName>
    <definedName name="_xlnm.Print_Area" localSheetId="10">SGET木更津!$A$1:$G$69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5" i="21"/>
  <c r="D25" i="19"/>
  <c r="D25" i="4"/>
  <c r="D25" i="5"/>
  <c r="D25" i="13"/>
  <c r="D25" i="8"/>
  <c r="D25" i="6"/>
  <c r="D23" i="13"/>
  <c r="D23" i="14"/>
  <c r="D24" i="12"/>
  <c r="D23" i="11"/>
  <c r="D36" i="10"/>
  <c r="D35" i="10"/>
  <c r="D23" i="10"/>
  <c r="D23" i="9"/>
  <c r="D23" i="8"/>
  <c r="D24" i="8"/>
  <c r="D23" i="7"/>
  <c r="D23" i="5"/>
  <c r="D35" i="3"/>
  <c r="D36" i="3"/>
  <c r="D23" i="4"/>
  <c r="D24" i="4"/>
  <c r="D23" i="3"/>
  <c r="D23" i="21"/>
  <c r="D61" i="21"/>
  <c r="D60" i="21"/>
  <c r="D59" i="21"/>
  <c r="D58" i="21"/>
  <c r="D57" i="21"/>
  <c r="C52" i="21"/>
  <c r="C51" i="21"/>
  <c r="F47" i="21"/>
  <c r="D23" i="19"/>
  <c r="D61" i="19"/>
  <c r="D60" i="19"/>
  <c r="D59" i="19"/>
  <c r="D58" i="19"/>
  <c r="D57" i="19"/>
  <c r="C52" i="19"/>
  <c r="C51" i="19"/>
  <c r="F47" i="19"/>
  <c r="D36" i="1"/>
  <c r="D35" i="1"/>
  <c r="D23" i="15"/>
  <c r="D23" i="1"/>
  <c r="D61" i="15"/>
  <c r="D60" i="15"/>
  <c r="D59" i="15"/>
  <c r="D58" i="15"/>
  <c r="D57" i="15"/>
  <c r="C52" i="15"/>
  <c r="C51" i="15"/>
  <c r="F47" i="15"/>
  <c r="D61" i="14"/>
  <c r="D60" i="14"/>
  <c r="D59" i="14"/>
  <c r="D58" i="14"/>
  <c r="D57" i="14"/>
  <c r="C52" i="14"/>
  <c r="C51" i="14"/>
  <c r="F47" i="14"/>
  <c r="D61" i="13"/>
  <c r="D60" i="13"/>
  <c r="D59" i="13"/>
  <c r="D58" i="13"/>
  <c r="D57" i="13"/>
  <c r="C52" i="13"/>
  <c r="C51" i="13"/>
  <c r="F47" i="13"/>
  <c r="D61" i="12"/>
  <c r="D60" i="12"/>
  <c r="D59" i="12"/>
  <c r="D58" i="12"/>
  <c r="D57" i="12"/>
  <c r="C52" i="12"/>
  <c r="C51" i="12"/>
  <c r="F47" i="12"/>
  <c r="D61" i="11"/>
  <c r="D60" i="11"/>
  <c r="D59" i="11"/>
  <c r="D58" i="11"/>
  <c r="D57" i="11"/>
  <c r="C52" i="11"/>
  <c r="C51" i="11"/>
  <c r="F47" i="11"/>
  <c r="D61" i="10"/>
  <c r="D60" i="10"/>
  <c r="D59" i="10"/>
  <c r="D58" i="10"/>
  <c r="D57" i="10"/>
  <c r="C52" i="10"/>
  <c r="C51" i="10"/>
  <c r="F47" i="10"/>
  <c r="D61" i="9"/>
  <c r="D60" i="9"/>
  <c r="D59" i="9"/>
  <c r="D58" i="9"/>
  <c r="D57" i="9"/>
  <c r="C52" i="9"/>
  <c r="C51" i="9"/>
  <c r="F47" i="9"/>
  <c r="D61" i="8"/>
  <c r="D60" i="8"/>
  <c r="D59" i="8"/>
  <c r="D58" i="8"/>
  <c r="D57" i="8"/>
  <c r="C52" i="8"/>
  <c r="C51" i="8"/>
  <c r="F47" i="8"/>
  <c r="D61" i="7"/>
  <c r="D60" i="7"/>
  <c r="D59" i="7"/>
  <c r="D58" i="7"/>
  <c r="D57" i="7"/>
  <c r="C52" i="7"/>
  <c r="C51" i="7"/>
  <c r="F47" i="7"/>
  <c r="D61" i="6"/>
  <c r="D60" i="6"/>
  <c r="D59" i="6"/>
  <c r="D58" i="6"/>
  <c r="D57" i="6"/>
  <c r="C52" i="6"/>
  <c r="C51" i="6"/>
  <c r="F47" i="6"/>
  <c r="D61" i="5"/>
  <c r="D60" i="5"/>
  <c r="D59" i="5"/>
  <c r="D58" i="5"/>
  <c r="D57" i="5"/>
  <c r="C52" i="5"/>
  <c r="C51" i="5"/>
  <c r="F47" i="5"/>
  <c r="D61" i="4"/>
  <c r="D60" i="4"/>
  <c r="D59" i="4"/>
  <c r="D58" i="4"/>
  <c r="D57" i="4"/>
  <c r="C52" i="4"/>
  <c r="C51" i="4"/>
  <c r="F47" i="4"/>
  <c r="D61" i="1" l="1"/>
  <c r="D60" i="1"/>
  <c r="D59" i="1"/>
  <c r="D58" i="1"/>
  <c r="D57" i="1"/>
  <c r="F47" i="1"/>
  <c r="C52" i="1"/>
  <c r="C51" i="1"/>
</calcChain>
</file>

<file path=xl/sharedStrings.xml><?xml version="1.0" encoding="utf-8"?>
<sst xmlns="http://schemas.openxmlformats.org/spreadsheetml/2006/main" count="2344" uniqueCount="146">
  <si>
    <t>Ver：1.02</t>
    <phoneticPr fontId="3"/>
  </si>
  <si>
    <t>雪災被害想定額算出　分析条件シート</t>
    <rPh sb="0" eb="1">
      <t>セツ</t>
    </rPh>
    <rPh sb="1" eb="2">
      <t>サイ</t>
    </rPh>
    <rPh sb="2" eb="4">
      <t>ヒガイ</t>
    </rPh>
    <rPh sb="4" eb="6">
      <t>ソウテイ</t>
    </rPh>
    <rPh sb="6" eb="7">
      <t>ガク</t>
    </rPh>
    <rPh sb="7" eb="9">
      <t>サンシュツ</t>
    </rPh>
    <rPh sb="10" eb="12">
      <t>ブンセキ</t>
    </rPh>
    <rPh sb="12" eb="14">
      <t>ジョウケン</t>
    </rPh>
    <phoneticPr fontId="3"/>
  </si>
  <si>
    <t>MS&amp;ADインターリスク総研株式会社　御中</t>
    <rPh sb="12" eb="14">
      <t>ソウケン</t>
    </rPh>
    <rPh sb="14" eb="18">
      <t>カブシキガイシャ</t>
    </rPh>
    <rPh sb="19" eb="21">
      <t>オンチュウ</t>
    </rPh>
    <phoneticPr fontId="3"/>
  </si>
  <si>
    <t>スパークス・グリーンエナジー＆テクノロジー株式会社</t>
    <rPh sb="21" eb="25">
      <t>カブシキカイシャ</t>
    </rPh>
    <phoneticPr fontId="3"/>
  </si>
  <si>
    <t>下記のとおり物件情報をお送りしますので、分析の際にご使用願います。</t>
    <rPh sb="0" eb="2">
      <t>カキ</t>
    </rPh>
    <rPh sb="6" eb="8">
      <t>ブッケン</t>
    </rPh>
    <rPh sb="8" eb="10">
      <t>ジョウホウ</t>
    </rPh>
    <rPh sb="12" eb="13">
      <t>オク</t>
    </rPh>
    <rPh sb="20" eb="22">
      <t>ブンセキ</t>
    </rPh>
    <rPh sb="23" eb="24">
      <t>サイ</t>
    </rPh>
    <rPh sb="26" eb="28">
      <t>シヨウ</t>
    </rPh>
    <rPh sb="28" eb="29">
      <t>ネガ</t>
    </rPh>
    <phoneticPr fontId="3"/>
  </si>
  <si>
    <t>分析依頼日</t>
    <rPh sb="0" eb="2">
      <t>ブンセキ</t>
    </rPh>
    <rPh sb="2" eb="4">
      <t>イライ</t>
    </rPh>
    <rPh sb="4" eb="5">
      <t>ビ</t>
    </rPh>
    <phoneticPr fontId="3"/>
  </si>
  <si>
    <t>希望納期</t>
    <rPh sb="0" eb="2">
      <t>キボウ</t>
    </rPh>
    <rPh sb="2" eb="4">
      <t>ノウキ</t>
    </rPh>
    <phoneticPr fontId="3"/>
  </si>
  <si>
    <t>物件情報</t>
    <rPh sb="0" eb="2">
      <t>ブッケン</t>
    </rPh>
    <rPh sb="2" eb="4">
      <t>ジョウホウ</t>
    </rPh>
    <phoneticPr fontId="7"/>
  </si>
  <si>
    <t>項目</t>
    <rPh sb="0" eb="2">
      <t>コウモク</t>
    </rPh>
    <phoneticPr fontId="7"/>
  </si>
  <si>
    <t>備考欄</t>
    <rPh sb="0" eb="2">
      <t>ビコウ</t>
    </rPh>
    <rPh sb="2" eb="3">
      <t>ラン</t>
    </rPh>
    <phoneticPr fontId="7"/>
  </si>
  <si>
    <t>基礎情報</t>
    <rPh sb="0" eb="2">
      <t>キソ</t>
    </rPh>
    <rPh sb="2" eb="4">
      <t>ジョウホウ</t>
    </rPh>
    <phoneticPr fontId="3"/>
  </si>
  <si>
    <t>物件名称</t>
    <rPh sb="0" eb="2">
      <t>ブッケン</t>
    </rPh>
    <rPh sb="2" eb="4">
      <t>メイショウ</t>
    </rPh>
    <phoneticPr fontId="3"/>
  </si>
  <si>
    <t>SGET芦北メガソーラー発電所</t>
    <rPh sb="4" eb="6">
      <t>アシキタ</t>
    </rPh>
    <rPh sb="12" eb="15">
      <t>ハツデンショ</t>
    </rPh>
    <phoneticPr fontId="3"/>
  </si>
  <si>
    <t>－</t>
    <phoneticPr fontId="3"/>
  </si>
  <si>
    <t>所在地</t>
    <rPh sb="0" eb="3">
      <t>ショザイチ</t>
    </rPh>
    <phoneticPr fontId="3"/>
  </si>
  <si>
    <t>熊本県葦北郡芦北町女島770番地4</t>
  </si>
  <si>
    <t>緯度</t>
    <rPh sb="0" eb="2">
      <t>イド</t>
    </rPh>
    <phoneticPr fontId="3"/>
  </si>
  <si>
    <t>度</t>
    <rPh sb="0" eb="1">
      <t>ド</t>
    </rPh>
    <phoneticPr fontId="3"/>
  </si>
  <si>
    <t>小数でご記入ください（例：35.6976 度）</t>
    <rPh sb="0" eb="2">
      <t>ショウスウ</t>
    </rPh>
    <rPh sb="4" eb="6">
      <t>キニュウ</t>
    </rPh>
    <rPh sb="11" eb="12">
      <t>レイ</t>
    </rPh>
    <rPh sb="21" eb="22">
      <t>ド</t>
    </rPh>
    <phoneticPr fontId="3"/>
  </si>
  <si>
    <t>経度</t>
    <rPh sb="0" eb="2">
      <t>ケイド</t>
    </rPh>
    <phoneticPr fontId="3"/>
  </si>
  <si>
    <t>小数でご記入ください（例：139.7676 度）</t>
    <rPh sb="0" eb="2">
      <t>ショウスウ</t>
    </rPh>
    <rPh sb="4" eb="6">
      <t>キニュウ</t>
    </rPh>
    <rPh sb="11" eb="12">
      <t>レイ</t>
    </rPh>
    <rPh sb="22" eb="23">
      <t>ド</t>
    </rPh>
    <phoneticPr fontId="3"/>
  </si>
  <si>
    <t>竣工年</t>
    <rPh sb="0" eb="2">
      <t>シュンコウ</t>
    </rPh>
    <rPh sb="2" eb="3">
      <t>ネン</t>
    </rPh>
    <phoneticPr fontId="3"/>
  </si>
  <si>
    <t>年</t>
    <rPh sb="0" eb="1">
      <t>ネン</t>
    </rPh>
    <phoneticPr fontId="3"/>
  </si>
  <si>
    <t>西暦でご記入ください。</t>
    <rPh sb="0" eb="2">
      <t>セイレキ</t>
    </rPh>
    <rPh sb="4" eb="6">
      <t>キニュウ</t>
    </rPh>
    <phoneticPr fontId="3"/>
  </si>
  <si>
    <t>再調達価額</t>
    <rPh sb="0" eb="3">
      <t>サイチョウタツ</t>
    </rPh>
    <rPh sb="3" eb="5">
      <t>カガク</t>
    </rPh>
    <phoneticPr fontId="3"/>
  </si>
  <si>
    <t>千円</t>
    <rPh sb="0" eb="2">
      <t>センエン</t>
    </rPh>
    <phoneticPr fontId="3"/>
  </si>
  <si>
    <t>架台条件</t>
    <rPh sb="0" eb="2">
      <t>ガダイ</t>
    </rPh>
    <rPh sb="2" eb="4">
      <t>ジョウケン</t>
    </rPh>
    <phoneticPr fontId="7"/>
  </si>
  <si>
    <t>用途</t>
    <rPh sb="0" eb="2">
      <t>ヨウト</t>
    </rPh>
    <phoneticPr fontId="7"/>
  </si>
  <si>
    <t>通常</t>
  </si>
  <si>
    <t>プルダウンより選択ください。不明の場合は「通常」を選択ください。</t>
    <rPh sb="7" eb="9">
      <t>センタク</t>
    </rPh>
    <rPh sb="14" eb="16">
      <t>フメイ</t>
    </rPh>
    <rPh sb="17" eb="19">
      <t>バアイ</t>
    </rPh>
    <rPh sb="21" eb="23">
      <t>ツウジョウ</t>
    </rPh>
    <rPh sb="25" eb="27">
      <t>センタク</t>
    </rPh>
    <phoneticPr fontId="3"/>
  </si>
  <si>
    <t>モジュール面傾斜角</t>
    <rPh sb="5" eb="6">
      <t>メン</t>
    </rPh>
    <rPh sb="6" eb="8">
      <t>ケイシャ</t>
    </rPh>
    <rPh sb="8" eb="9">
      <t>カク</t>
    </rPh>
    <phoneticPr fontId="7"/>
  </si>
  <si>
    <t>度</t>
    <rPh sb="0" eb="1">
      <t>ド</t>
    </rPh>
    <phoneticPr fontId="7"/>
  </si>
  <si>
    <t>設計図面をもとにご記入ください。</t>
    <rPh sb="0" eb="2">
      <t>セッケイ</t>
    </rPh>
    <rPh sb="2" eb="4">
      <t>ズメン</t>
    </rPh>
    <rPh sb="9" eb="11">
      <t>キニュウ</t>
    </rPh>
    <phoneticPr fontId="3"/>
  </si>
  <si>
    <t>モジュール面平均高さ</t>
    <rPh sb="5" eb="6">
      <t>メン</t>
    </rPh>
    <rPh sb="6" eb="8">
      <t>ヘイキン</t>
    </rPh>
    <rPh sb="8" eb="9">
      <t>タカ</t>
    </rPh>
    <phoneticPr fontId="7"/>
  </si>
  <si>
    <t>m</t>
    <phoneticPr fontId="7"/>
  </si>
  <si>
    <t>モジュール面下端高さ</t>
    <rPh sb="5" eb="6">
      <t>メン</t>
    </rPh>
    <rPh sb="6" eb="8">
      <t>カタン</t>
    </rPh>
    <rPh sb="8" eb="9">
      <t>タカ</t>
    </rPh>
    <phoneticPr fontId="7"/>
  </si>
  <si>
    <t>軒-棟スパン長さ（ｍ）</t>
    <rPh sb="0" eb="1">
      <t>ノキ</t>
    </rPh>
    <rPh sb="2" eb="3">
      <t>ムネ</t>
    </rPh>
    <rPh sb="6" eb="7">
      <t>ナガ</t>
    </rPh>
    <phoneticPr fontId="3"/>
  </si>
  <si>
    <t>m</t>
    <phoneticPr fontId="3"/>
  </si>
  <si>
    <t>設計条件</t>
    <rPh sb="0" eb="2">
      <t>セッケイ</t>
    </rPh>
    <rPh sb="2" eb="4">
      <t>ジョウケン</t>
    </rPh>
    <phoneticPr fontId="7"/>
  </si>
  <si>
    <t>設計基準</t>
    <rPh sb="0" eb="2">
      <t>セッケイ</t>
    </rPh>
    <rPh sb="2" eb="4">
      <t>キジュン</t>
    </rPh>
    <phoneticPr fontId="3"/>
  </si>
  <si>
    <t>JIS-C8955(2004年版)</t>
  </si>
  <si>
    <t>プルダウンより選択ください。不明の場合、「JIS-C8955(2004年版)」を選択ください。</t>
    <rPh sb="7" eb="9">
      <t>センタク</t>
    </rPh>
    <rPh sb="14" eb="16">
      <t>フメイ</t>
    </rPh>
    <rPh sb="17" eb="19">
      <t>バアイ</t>
    </rPh>
    <rPh sb="35" eb="36">
      <t>ネン</t>
    </rPh>
    <rPh sb="36" eb="37">
      <t>バン</t>
    </rPh>
    <rPh sb="40" eb="42">
      <t>センタク</t>
    </rPh>
    <phoneticPr fontId="3"/>
  </si>
  <si>
    <t>基準風速</t>
    <rPh sb="0" eb="2">
      <t>キジュン</t>
    </rPh>
    <rPh sb="2" eb="4">
      <t>フウソク</t>
    </rPh>
    <phoneticPr fontId="7"/>
  </si>
  <si>
    <t>m/s</t>
    <phoneticPr fontId="7"/>
  </si>
  <si>
    <t>構造計算書をもとにご記入ください。不明の場合、空白として下さい。</t>
    <rPh sb="0" eb="2">
      <t>コウゾウ</t>
    </rPh>
    <rPh sb="2" eb="5">
      <t>ケイサンショ</t>
    </rPh>
    <rPh sb="10" eb="12">
      <t>キニュウ</t>
    </rPh>
    <phoneticPr fontId="3"/>
  </si>
  <si>
    <t>地表面粗度区分</t>
    <rPh sb="0" eb="3">
      <t>チヒョウメン</t>
    </rPh>
    <rPh sb="3" eb="4">
      <t>ソ</t>
    </rPh>
    <rPh sb="4" eb="5">
      <t>ド</t>
    </rPh>
    <rPh sb="5" eb="7">
      <t>クブン</t>
    </rPh>
    <phoneticPr fontId="7"/>
  </si>
  <si>
    <t>Ⅲ</t>
  </si>
  <si>
    <t>構造計算書をもとに、プルダウンから選択ください。不明の場合、Ⅲを選択ください。</t>
    <rPh sb="0" eb="2">
      <t>コウゾウ</t>
    </rPh>
    <rPh sb="2" eb="5">
      <t>ケイサンショ</t>
    </rPh>
    <rPh sb="17" eb="19">
      <t>センタク</t>
    </rPh>
    <rPh sb="32" eb="34">
      <t>センタク</t>
    </rPh>
    <phoneticPr fontId="3"/>
  </si>
  <si>
    <t>小地形による風速の割増係数Eg</t>
    <rPh sb="0" eb="3">
      <t>ショウチケイ</t>
    </rPh>
    <rPh sb="6" eb="8">
      <t>フウソク</t>
    </rPh>
    <rPh sb="9" eb="10">
      <t>ワ</t>
    </rPh>
    <rPh sb="10" eb="11">
      <t>マ</t>
    </rPh>
    <rPh sb="11" eb="13">
      <t>ケイスウ</t>
    </rPh>
    <phoneticPr fontId="3"/>
  </si>
  <si>
    <t>-</t>
  </si>
  <si>
    <t>設計時の垂直積雪量</t>
    <rPh sb="0" eb="2">
      <t>セッケイ</t>
    </rPh>
    <rPh sb="2" eb="3">
      <t>ジ</t>
    </rPh>
    <rPh sb="4" eb="6">
      <t>スイチョク</t>
    </rPh>
    <rPh sb="6" eb="8">
      <t>セキセツ</t>
    </rPh>
    <rPh sb="8" eb="9">
      <t>リョウ</t>
    </rPh>
    <phoneticPr fontId="7"/>
  </si>
  <si>
    <t>cm</t>
    <phoneticPr fontId="7"/>
  </si>
  <si>
    <t>構造計算書をもとにご記入ください。</t>
    <rPh sb="0" eb="2">
      <t>コウゾウ</t>
    </rPh>
    <rPh sb="2" eb="5">
      <t>ケイサンショ</t>
    </rPh>
    <rPh sb="10" eb="12">
      <t>キニュウ</t>
    </rPh>
    <phoneticPr fontId="3"/>
  </si>
  <si>
    <t>降雨荷重による割増係数α</t>
    <rPh sb="0" eb="2">
      <t>コウウ</t>
    </rPh>
    <rPh sb="2" eb="4">
      <t>カジュウ</t>
    </rPh>
    <rPh sb="7" eb="9">
      <t>ワリマシ</t>
    </rPh>
    <rPh sb="9" eb="11">
      <t>ケイスウ</t>
    </rPh>
    <phoneticPr fontId="3"/>
  </si>
  <si>
    <t>積雪荷重算定時の勾配係数Cs</t>
    <rPh sb="0" eb="2">
      <t>セキセツ</t>
    </rPh>
    <rPh sb="2" eb="4">
      <t>カジュウ</t>
    </rPh>
    <rPh sb="4" eb="6">
      <t>サンテイ</t>
    </rPh>
    <rPh sb="6" eb="7">
      <t>ジ</t>
    </rPh>
    <rPh sb="8" eb="10">
      <t>コウバイ</t>
    </rPh>
    <rPh sb="10" eb="12">
      <t>ケイスウ</t>
    </rPh>
    <phoneticPr fontId="3"/>
  </si>
  <si>
    <t>軒先荷重（沈降荷重）Pe</t>
    <rPh sb="0" eb="2">
      <t>ノキサキ</t>
    </rPh>
    <rPh sb="2" eb="4">
      <t>カジュウ</t>
    </rPh>
    <rPh sb="5" eb="7">
      <t>チンコウ</t>
    </rPh>
    <rPh sb="7" eb="9">
      <t>カジュウ</t>
    </rPh>
    <phoneticPr fontId="3"/>
  </si>
  <si>
    <t>N/㎡</t>
    <phoneticPr fontId="7"/>
  </si>
  <si>
    <t>モジュール強度</t>
    <rPh sb="5" eb="7">
      <t>キョウド</t>
    </rPh>
    <phoneticPr fontId="7"/>
  </si>
  <si>
    <t>検定比</t>
    <rPh sb="0" eb="2">
      <t>ケンテイ</t>
    </rPh>
    <rPh sb="2" eb="3">
      <t>ヒ</t>
    </rPh>
    <phoneticPr fontId="7"/>
  </si>
  <si>
    <t>長期荷重</t>
    <rPh sb="0" eb="2">
      <t>チョウキ</t>
    </rPh>
    <rPh sb="2" eb="4">
      <t>カジュウ</t>
    </rPh>
    <phoneticPr fontId="7"/>
  </si>
  <si>
    <t>短期荷重（風正圧、雪）</t>
    <rPh sb="0" eb="2">
      <t>タンキ</t>
    </rPh>
    <rPh sb="2" eb="4">
      <t>カジュウ</t>
    </rPh>
    <rPh sb="5" eb="6">
      <t>カゼ</t>
    </rPh>
    <rPh sb="6" eb="7">
      <t>セイ</t>
    </rPh>
    <rPh sb="7" eb="8">
      <t>アツ</t>
    </rPh>
    <rPh sb="9" eb="10">
      <t>ユキ</t>
    </rPh>
    <phoneticPr fontId="7"/>
  </si>
  <si>
    <t>資産比率</t>
    <rPh sb="0" eb="2">
      <t>シサン</t>
    </rPh>
    <rPh sb="2" eb="4">
      <t>ヒリツ</t>
    </rPh>
    <phoneticPr fontId="7"/>
  </si>
  <si>
    <t>架台</t>
    <rPh sb="0" eb="2">
      <t>ガダイ</t>
    </rPh>
    <phoneticPr fontId="7"/>
  </si>
  <si>
    <t>％</t>
    <phoneticPr fontId="3"/>
  </si>
  <si>
    <t>再調達価額に対する架台金額の比率。不明の場合、空白として下さい。</t>
    <rPh sb="0" eb="3">
      <t>サイチョウタツ</t>
    </rPh>
    <rPh sb="3" eb="5">
      <t>カガク</t>
    </rPh>
    <rPh sb="6" eb="7">
      <t>タイ</t>
    </rPh>
    <rPh sb="9" eb="11">
      <t>ガダイ</t>
    </rPh>
    <rPh sb="11" eb="13">
      <t>キンガク</t>
    </rPh>
    <rPh sb="14" eb="16">
      <t>ヒリツ</t>
    </rPh>
    <rPh sb="17" eb="19">
      <t>フメイ</t>
    </rPh>
    <rPh sb="20" eb="22">
      <t>バアイ</t>
    </rPh>
    <rPh sb="23" eb="25">
      <t>クウハク</t>
    </rPh>
    <rPh sb="28" eb="29">
      <t>クダ</t>
    </rPh>
    <phoneticPr fontId="3"/>
  </si>
  <si>
    <t>モジュール</t>
    <phoneticPr fontId="7"/>
  </si>
  <si>
    <t>再調達価額に対するモジュール金額の比率。不明の場合、空白として下さい。</t>
    <rPh sb="0" eb="3">
      <t>サイチョウタツ</t>
    </rPh>
    <rPh sb="3" eb="5">
      <t>カガク</t>
    </rPh>
    <rPh sb="6" eb="7">
      <t>タイ</t>
    </rPh>
    <rPh sb="14" eb="16">
      <t>キンガク</t>
    </rPh>
    <rPh sb="17" eb="19">
      <t>ヒリツ</t>
    </rPh>
    <rPh sb="20" eb="22">
      <t>フメイ</t>
    </rPh>
    <rPh sb="23" eb="25">
      <t>バアイ</t>
    </rPh>
    <rPh sb="26" eb="28">
      <t>クウハク</t>
    </rPh>
    <rPh sb="31" eb="32">
      <t>クダ</t>
    </rPh>
    <phoneticPr fontId="3"/>
  </si>
  <si>
    <t>電気設備（パワコン、変電）</t>
    <rPh sb="0" eb="2">
      <t>デンキ</t>
    </rPh>
    <rPh sb="2" eb="4">
      <t>セツビ</t>
    </rPh>
    <rPh sb="10" eb="12">
      <t>ヘンデン</t>
    </rPh>
    <phoneticPr fontId="7"/>
  </si>
  <si>
    <t>再調達価額に対する電気設備金額の比率。不明の場合、空白として下さい。</t>
    <rPh sb="0" eb="3">
      <t>サイチョウタツ</t>
    </rPh>
    <rPh sb="3" eb="5">
      <t>カガク</t>
    </rPh>
    <rPh sb="6" eb="7">
      <t>タイ</t>
    </rPh>
    <rPh sb="9" eb="11">
      <t>デンキ</t>
    </rPh>
    <rPh sb="11" eb="13">
      <t>セツビ</t>
    </rPh>
    <rPh sb="13" eb="15">
      <t>キンガク</t>
    </rPh>
    <rPh sb="16" eb="18">
      <t>ヒリツ</t>
    </rPh>
    <rPh sb="19" eb="21">
      <t>フメイ</t>
    </rPh>
    <rPh sb="22" eb="24">
      <t>バアイ</t>
    </rPh>
    <rPh sb="25" eb="27">
      <t>クウハク</t>
    </rPh>
    <rPh sb="30" eb="31">
      <t>クダ</t>
    </rPh>
    <phoneticPr fontId="3"/>
  </si>
  <si>
    <t>その他</t>
    <rPh sb="2" eb="3">
      <t>タ</t>
    </rPh>
    <phoneticPr fontId="7"/>
  </si>
  <si>
    <t>再調達価額に対するその他設備金額の比率。不明の場合、空白として下さい。</t>
    <rPh sb="0" eb="3">
      <t>サイチョウタツ</t>
    </rPh>
    <rPh sb="3" eb="5">
      <t>カガク</t>
    </rPh>
    <rPh sb="6" eb="7">
      <t>タイ</t>
    </rPh>
    <rPh sb="11" eb="12">
      <t>タ</t>
    </rPh>
    <rPh sb="12" eb="14">
      <t>セツビ</t>
    </rPh>
    <rPh sb="14" eb="16">
      <t>キンガク</t>
    </rPh>
    <rPh sb="17" eb="19">
      <t>ヒリツ</t>
    </rPh>
    <rPh sb="20" eb="22">
      <t>フメイ</t>
    </rPh>
    <rPh sb="23" eb="25">
      <t>バアイ</t>
    </rPh>
    <rPh sb="26" eb="28">
      <t>クウハク</t>
    </rPh>
    <rPh sb="31" eb="32">
      <t>クダ</t>
    </rPh>
    <phoneticPr fontId="3"/>
  </si>
  <si>
    <t>※入力値の根拠となる資料（構造計算書など）も合わせてご提出ください。</t>
    <rPh sb="1" eb="4">
      <t>ニュウリョクチ</t>
    </rPh>
    <rPh sb="5" eb="7">
      <t>コンキョ</t>
    </rPh>
    <rPh sb="10" eb="12">
      <t>シリョウ</t>
    </rPh>
    <rPh sb="13" eb="15">
      <t>コウゾウ</t>
    </rPh>
    <rPh sb="15" eb="18">
      <t>ケイサンショ</t>
    </rPh>
    <rPh sb="22" eb="23">
      <t>ア</t>
    </rPh>
    <rPh sb="27" eb="29">
      <t>テイシュツ</t>
    </rPh>
    <phoneticPr fontId="3"/>
  </si>
  <si>
    <t>雹災被害想定額算出　分析条件シート</t>
    <rPh sb="0" eb="1">
      <t>ヒョウ</t>
    </rPh>
    <rPh sb="1" eb="2">
      <t>サイ</t>
    </rPh>
    <rPh sb="2" eb="4">
      <t>ヒガイ</t>
    </rPh>
    <rPh sb="4" eb="6">
      <t>ソウテイ</t>
    </rPh>
    <rPh sb="6" eb="7">
      <t>ガク</t>
    </rPh>
    <rPh sb="7" eb="9">
      <t>サンシュツ</t>
    </rPh>
    <rPh sb="10" eb="12">
      <t>ブンセキ</t>
    </rPh>
    <rPh sb="12" eb="14">
      <t>ジョウケン</t>
    </rPh>
    <phoneticPr fontId="3"/>
  </si>
  <si>
    <t>SGET秋田メガソーラー発電所</t>
    <rPh sb="4" eb="6">
      <t>アキタ</t>
    </rPh>
    <rPh sb="12" eb="15">
      <t>ハツデンショ</t>
    </rPh>
    <phoneticPr fontId="3"/>
  </si>
  <si>
    <t>秋田県北秋田市脇神字高村岳1番1</t>
    <rPh sb="0" eb="2">
      <t>アキタケン</t>
    </rPh>
    <rPh sb="2" eb="6">
      <t>キタアキタシ</t>
    </rPh>
    <rPh sb="6" eb="7">
      <t>ワキ</t>
    </rPh>
    <rPh sb="7" eb="8">
      <t>カミ</t>
    </rPh>
    <rPh sb="8" eb="9">
      <t>アザ</t>
    </rPh>
    <rPh sb="9" eb="11">
      <t>タカムラ</t>
    </rPh>
    <rPh sb="11" eb="12">
      <t>タケ</t>
    </rPh>
    <rPh sb="13" eb="14">
      <t>バン</t>
    </rPh>
    <phoneticPr fontId="1"/>
  </si>
  <si>
    <t>SGET富山メガソーラー発電所</t>
    <rPh sb="4" eb="6">
      <t>トヤマ</t>
    </rPh>
    <rPh sb="12" eb="15">
      <t>ハツデンショ</t>
    </rPh>
    <phoneticPr fontId="3"/>
  </si>
  <si>
    <t>富山県富山市舟倉字向山割36番2</t>
    <rPh sb="0" eb="2">
      <t>トヤマケン</t>
    </rPh>
    <rPh sb="2" eb="5">
      <t>トヤマシ</t>
    </rPh>
    <rPh sb="5" eb="7">
      <t>フナクラ</t>
    </rPh>
    <rPh sb="7" eb="8">
      <t>アザ</t>
    </rPh>
    <rPh sb="8" eb="10">
      <t>ムコウヤマ</t>
    </rPh>
    <rPh sb="10" eb="11">
      <t>ワ</t>
    </rPh>
    <rPh sb="13" eb="14">
      <t>バン</t>
    </rPh>
    <phoneticPr fontId="2"/>
  </si>
  <si>
    <t>SGET中井メガソーラー発電所</t>
    <rPh sb="4" eb="6">
      <t>ナカイ</t>
    </rPh>
    <rPh sb="12" eb="15">
      <t>ハツデンショ</t>
    </rPh>
    <phoneticPr fontId="3"/>
  </si>
  <si>
    <t>神奈川県足柄上郡中井町井ノ口3717番</t>
    <rPh sb="0" eb="3">
      <t>カナガワケン</t>
    </rPh>
    <rPh sb="3" eb="5">
      <t>アシガラ</t>
    </rPh>
    <rPh sb="5" eb="6">
      <t>ウエ</t>
    </rPh>
    <rPh sb="6" eb="7">
      <t>グン</t>
    </rPh>
    <rPh sb="7" eb="10">
      <t>ナカイマチ</t>
    </rPh>
    <rPh sb="10" eb="11">
      <t>イ</t>
    </rPh>
    <rPh sb="12" eb="13">
      <t>グチ</t>
    </rPh>
    <rPh sb="17" eb="18">
      <t>バン</t>
    </rPh>
    <phoneticPr fontId="2"/>
  </si>
  <si>
    <t>SGET釧路メガソーラー発電所</t>
    <rPh sb="4" eb="6">
      <t>クシロ</t>
    </rPh>
    <rPh sb="12" eb="15">
      <t>ハツデンショ</t>
    </rPh>
    <phoneticPr fontId="3"/>
  </si>
  <si>
    <t>北海道釧路市鶴野58-4</t>
    <rPh sb="0" eb="2">
      <t>ホッカイドウ</t>
    </rPh>
    <rPh sb="2" eb="5">
      <t>クシロシ</t>
    </rPh>
    <rPh sb="5" eb="7">
      <t>ツルノ</t>
    </rPh>
    <phoneticPr fontId="2"/>
  </si>
  <si>
    <t>SGET常陸大宮メガソーラー発電所</t>
    <rPh sb="4" eb="8">
      <t>ヒタチオオミヤ</t>
    </rPh>
    <rPh sb="14" eb="17">
      <t>ハツデンショ</t>
    </rPh>
    <phoneticPr fontId="3"/>
  </si>
  <si>
    <t>茨城県常陸大宮市上小瀬字白谷5372番47</t>
    <rPh sb="0" eb="2">
      <t>イバラキケン</t>
    </rPh>
    <rPh sb="2" eb="4">
      <t>ヒタチ</t>
    </rPh>
    <rPh sb="4" eb="7">
      <t>オオミヤシ</t>
    </rPh>
    <rPh sb="7" eb="8">
      <t>ウエ</t>
    </rPh>
    <rPh sb="8" eb="10">
      <t>オゼ</t>
    </rPh>
    <rPh sb="10" eb="11">
      <t>アザ</t>
    </rPh>
    <rPh sb="11" eb="13">
      <t>シロタニ</t>
    </rPh>
    <rPh sb="17" eb="18">
      <t>バン</t>
    </rPh>
    <phoneticPr fontId="2"/>
  </si>
  <si>
    <t>SGET栗原メガソーラー発電所</t>
    <rPh sb="4" eb="6">
      <t>クリハラ</t>
    </rPh>
    <rPh sb="12" eb="15">
      <t>ハツデンショ</t>
    </rPh>
    <phoneticPr fontId="3"/>
  </si>
  <si>
    <t>宮城県栗原市高清水大沢8-1</t>
    <rPh sb="0" eb="2">
      <t>ミヤギケン</t>
    </rPh>
    <rPh sb="2" eb="5">
      <t>クリハラシ</t>
    </rPh>
    <rPh sb="5" eb="8">
      <t>タカシミズ</t>
    </rPh>
    <rPh sb="8" eb="10">
      <t>オオサワ</t>
    </rPh>
    <phoneticPr fontId="2"/>
  </si>
  <si>
    <t>SGET神栖メガソーラー発電所</t>
    <rPh sb="4" eb="6">
      <t>カミス</t>
    </rPh>
    <phoneticPr fontId="2"/>
  </si>
  <si>
    <t>茨城県神栖市砂山16番2および3</t>
    <rPh sb="0" eb="2">
      <t>イバラキケン</t>
    </rPh>
    <rPh sb="2" eb="5">
      <t>カミスシ</t>
    </rPh>
    <rPh sb="5" eb="7">
      <t>スナヤマ</t>
    </rPh>
    <rPh sb="9" eb="10">
      <t>バン</t>
    </rPh>
    <phoneticPr fontId="2"/>
  </si>
  <si>
    <t>SGET栃木メガソーラー発電所</t>
    <rPh sb="4" eb="6">
      <t>トチギ</t>
    </rPh>
    <phoneticPr fontId="2"/>
  </si>
  <si>
    <t>栃木県那須烏山市志鳥字孫次郎2644番2</t>
    <rPh sb="0" eb="2">
      <t>トチギケン</t>
    </rPh>
    <rPh sb="2" eb="7">
      <t>ナスカラスヤマシ</t>
    </rPh>
    <rPh sb="7" eb="8">
      <t>ココロザシ</t>
    </rPh>
    <rPh sb="8" eb="9">
      <t>トリ</t>
    </rPh>
    <rPh sb="9" eb="10">
      <t>アザ</t>
    </rPh>
    <rPh sb="10" eb="11">
      <t>マゴ</t>
    </rPh>
    <rPh sb="11" eb="13">
      <t>ジロウ</t>
    </rPh>
    <rPh sb="17" eb="18">
      <t>バン</t>
    </rPh>
    <phoneticPr fontId="2"/>
  </si>
  <si>
    <t>ー</t>
  </si>
  <si>
    <t>SGET行方メガソーラー発電所</t>
    <rPh sb="4" eb="6">
      <t>ナメガタ</t>
    </rPh>
    <rPh sb="12" eb="15">
      <t>ハツデンショ</t>
    </rPh>
    <phoneticPr fontId="3"/>
  </si>
  <si>
    <t>茨城県行方市大字麻生字水喰2936-20ほか</t>
  </si>
  <si>
    <t>SGET木更津メガソーラー発電所</t>
    <rPh sb="4" eb="7">
      <t>キサラズ</t>
    </rPh>
    <phoneticPr fontId="2"/>
  </si>
  <si>
    <t>千葉県木更津市真里谷字伊豆谷1035</t>
    <rPh sb="0" eb="2">
      <t>チバケン</t>
    </rPh>
    <rPh sb="2" eb="6">
      <t>キサラヅシ</t>
    </rPh>
    <rPh sb="6" eb="8">
      <t>マリ</t>
    </rPh>
    <rPh sb="8" eb="9">
      <t>タニ</t>
    </rPh>
    <rPh sb="9" eb="10">
      <t>アザ</t>
    </rPh>
    <rPh sb="10" eb="12">
      <t>イズ</t>
    </rPh>
    <rPh sb="12" eb="13">
      <t>タニ</t>
    </rPh>
    <phoneticPr fontId="2"/>
  </si>
  <si>
    <t>SGET南相馬メガソーラー発電所</t>
    <rPh sb="4" eb="7">
      <t>ミナミソウマ</t>
    </rPh>
    <phoneticPr fontId="2"/>
  </si>
  <si>
    <t>福島県南相馬市小高区井田川字北折田142</t>
    <rPh sb="0" eb="2">
      <t>フクシマケン</t>
    </rPh>
    <rPh sb="2" eb="6">
      <t>ミナミソウマシ</t>
    </rPh>
    <rPh sb="6" eb="8">
      <t>コダカ</t>
    </rPh>
    <rPh sb="8" eb="9">
      <t>ク</t>
    </rPh>
    <rPh sb="9" eb="11">
      <t>イダ</t>
    </rPh>
    <rPh sb="11" eb="12">
      <t>カワ</t>
    </rPh>
    <rPh sb="12" eb="13">
      <t>アザ</t>
    </rPh>
    <rPh sb="13" eb="16">
      <t>キタオリタ</t>
    </rPh>
    <phoneticPr fontId="2"/>
  </si>
  <si>
    <t>JIS-C8955(2017年版)</t>
  </si>
  <si>
    <t>Ⅱ</t>
  </si>
  <si>
    <t>SGET原町南メガソーラー発電所</t>
    <rPh sb="4" eb="6">
      <t>ハラマチ</t>
    </rPh>
    <rPh sb="6" eb="7">
      <t>ミナミ</t>
    </rPh>
    <phoneticPr fontId="2"/>
  </si>
  <si>
    <t>福島県南相馬市原町区下江井字落合6-1他</t>
    <rPh sb="0" eb="2">
      <t>フクシマケン</t>
    </rPh>
    <rPh sb="2" eb="6">
      <t>ミナミソウマシ</t>
    </rPh>
    <rPh sb="6" eb="9">
      <t>ハラマチク</t>
    </rPh>
    <rPh sb="9" eb="10">
      <t>シタ</t>
    </rPh>
    <rPh sb="10" eb="11">
      <t>エ</t>
    </rPh>
    <rPh sb="11" eb="12">
      <t>イ</t>
    </rPh>
    <rPh sb="12" eb="13">
      <t>アザ</t>
    </rPh>
    <rPh sb="13" eb="15">
      <t>オチアイ</t>
    </rPh>
    <rPh sb="19" eb="20">
      <t>ホカ</t>
    </rPh>
    <phoneticPr fontId="2"/>
  </si>
  <si>
    <t>SGET片品メガソーラー　架台種別一覧</t>
  </si>
  <si>
    <t>　</t>
  </si>
  <si>
    <t>段列</t>
  </si>
  <si>
    <t>地盤傾斜</t>
  </si>
  <si>
    <t>最大検定比</t>
  </si>
  <si>
    <t>図面</t>
  </si>
  <si>
    <t>計算書のモデル</t>
  </si>
  <si>
    <t>角度</t>
  </si>
  <si>
    <t>段</t>
  </si>
  <si>
    <t>列</t>
  </si>
  <si>
    <t>東西</t>
  </si>
  <si>
    <t>南北</t>
  </si>
  <si>
    <t>長期</t>
  </si>
  <si>
    <t>部材</t>
  </si>
  <si>
    <t>風</t>
  </si>
  <si>
    <t>雪</t>
  </si>
  <si>
    <t>鋼製</t>
  </si>
  <si>
    <t>ゴルフ場</t>
  </si>
  <si>
    <t>±20°以下</t>
  </si>
  <si>
    <t>0°</t>
  </si>
  <si>
    <t>B2
(1-1
27 - 39)</t>
    <phoneticPr fontId="3"/>
  </si>
  <si>
    <t>PDF P3：EG-TY0-0017A-04
ゴルフ場エリア</t>
  </si>
  <si>
    <t>PDF P20 ：強度検討書＜ゴルフ場②＞
最大応力となる地盤の傾きが短辺方向0度、長辺方向20度、柱本数6本、柱間隔短辺方向2100mm、長辺方向1962mmをモデル</t>
  </si>
  <si>
    <t>アルミ製</t>
  </si>
  <si>
    <t>V1</t>
    <phoneticPr fontId="3"/>
  </si>
  <si>
    <t>B1</t>
  </si>
  <si>
    <t>V1</t>
  </si>
  <si>
    <t>E20</t>
  </si>
  <si>
    <t>±20°</t>
  </si>
  <si>
    <t>N27</t>
  </si>
  <si>
    <t>-27°</t>
  </si>
  <si>
    <t>PDF P244：G-S型陸上架台</t>
  </si>
  <si>
    <t>PDF P278:①強度検討書＜ゴルフ場＞
最大応力となる地盤の傾きが短辺方向27度、長辺方向0度、柱本数4本、柱間隔短辺方向2293mm、長辺方向3100mmをモデル</t>
  </si>
  <si>
    <t>南スキー場</t>
  </si>
  <si>
    <t>-</t>
    <phoneticPr fontId="3"/>
  </si>
  <si>
    <t>南スキー場としての計算書はなし</t>
    <rPh sb="0" eb="1">
      <t>ミナミ</t>
    </rPh>
    <rPh sb="4" eb="5">
      <t>ジョウ</t>
    </rPh>
    <rPh sb="9" eb="12">
      <t>ケイサンショ</t>
    </rPh>
    <phoneticPr fontId="3"/>
  </si>
  <si>
    <t>S20</t>
  </si>
  <si>
    <t>北スキー場</t>
  </si>
  <si>
    <t>V2</t>
    <phoneticPr fontId="3"/>
  </si>
  <si>
    <t>G1</t>
  </si>
  <si>
    <t>S11</t>
  </si>
  <si>
    <t>11°</t>
  </si>
  <si>
    <t>PDF P259：G-S架台　③-S11北スキー場</t>
  </si>
  <si>
    <t>PDF P379：②強度検討書＜スキー場＞
最大応力となる地盤の傾きが短辺方向11度、長辺方向0度、柱本数4本、柱間隔短辺方向2293mm、長辺方向3100mmをモデル</t>
    <phoneticPr fontId="3"/>
  </si>
  <si>
    <t>SGET片品メガソーラー発電所</t>
    <rPh sb="4" eb="6">
      <t>カタシナ</t>
    </rPh>
    <phoneticPr fontId="2"/>
  </si>
  <si>
    <t>群馬県利根郡片品村大字東小川4648番地</t>
    <rPh sb="0" eb="3">
      <t>グンマケン</t>
    </rPh>
    <rPh sb="3" eb="6">
      <t>トネグン</t>
    </rPh>
    <rPh sb="6" eb="9">
      <t>カタシナムラ</t>
    </rPh>
    <rPh sb="9" eb="11">
      <t>オオアザ</t>
    </rPh>
    <rPh sb="11" eb="12">
      <t>ヒガシ</t>
    </rPh>
    <rPh sb="12" eb="14">
      <t>オガワ</t>
    </rPh>
    <rPh sb="18" eb="20">
      <t>バンチ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</si>
</sst>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);[Red]\(0.000\)"/>
    <numFmt numFmtId="177" formatCode="0.0_);[Red]\(0.0\)"/>
    <numFmt numFmtId="178" formatCode="0_);[Red]\(0\)"/>
    <numFmt numFmtId="179" formatCode="yyyy&quot;年&quot;m&quot;月&quot;;@"/>
  </numFmts>
  <fonts count="12"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000000"/>
      <name val="游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/>
  </cellStyleXfs>
  <cellXfs count="6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>
      <alignment vertical="center"/>
    </xf>
    <xf numFmtId="38" fontId="8" fillId="0" borderId="1" xfId="1" applyFont="1" applyFill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10" fillId="0" borderId="0" xfId="3" applyFont="1" applyAlignment="1">
      <alignment shrinkToFit="1"/>
    </xf>
    <xf numFmtId="0" fontId="6" fillId="3" borderId="4" xfId="0" applyFont="1" applyFill="1" applyBorder="1">
      <alignment vertical="center"/>
    </xf>
    <xf numFmtId="0" fontId="6" fillId="3" borderId="1" xfId="0" applyFont="1" applyFill="1" applyBorder="1" applyAlignment="1">
      <alignment horizontal="left" vertical="center"/>
    </xf>
    <xf numFmtId="38" fontId="6" fillId="3" borderId="1" xfId="1" applyFont="1" applyFill="1" applyBorder="1" applyAlignment="1">
      <alignment horizontal="right" vertical="center"/>
    </xf>
    <xf numFmtId="9" fontId="6" fillId="3" borderId="1" xfId="2" applyFont="1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14" fontId="6" fillId="0" borderId="1" xfId="0" applyNumberFormat="1" applyFont="1" applyBorder="1">
      <alignment vertical="center"/>
    </xf>
    <xf numFmtId="38" fontId="6" fillId="3" borderId="1" xfId="1" applyFont="1" applyFill="1" applyBorder="1" applyAlignment="1">
      <alignment horizontal="right" vertical="top"/>
    </xf>
    <xf numFmtId="0" fontId="6" fillId="3" borderId="1" xfId="0" applyFont="1" applyFill="1" applyBorder="1" applyAlignment="1">
      <alignment horizontal="center" vertical="top"/>
    </xf>
    <xf numFmtId="176" fontId="6" fillId="3" borderId="1" xfId="0" applyNumberFormat="1" applyFont="1" applyFill="1" applyBorder="1" applyAlignment="1">
      <alignment vertical="top"/>
    </xf>
    <xf numFmtId="177" fontId="6" fillId="3" borderId="1" xfId="0" applyNumberFormat="1" applyFont="1" applyFill="1" applyBorder="1" applyAlignment="1">
      <alignment horizontal="center" vertical="top"/>
    </xf>
    <xf numFmtId="178" fontId="6" fillId="3" borderId="1" xfId="0" applyNumberFormat="1" applyFont="1" applyFill="1" applyBorder="1" applyAlignment="1">
      <alignment horizontal="center" vertical="top"/>
    </xf>
    <xf numFmtId="176" fontId="6" fillId="3" borderId="1" xfId="0" applyNumberFormat="1" applyFont="1" applyFill="1" applyBorder="1" applyAlignment="1">
      <alignment horizontal="center" vertical="top"/>
    </xf>
    <xf numFmtId="9" fontId="6" fillId="3" borderId="1" xfId="2" applyFont="1" applyFill="1" applyBorder="1" applyAlignment="1">
      <alignment horizontal="center" vertical="top"/>
    </xf>
    <xf numFmtId="179" fontId="6" fillId="3" borderId="1" xfId="0" applyNumberFormat="1" applyFont="1" applyFill="1" applyBorder="1" applyAlignment="1">
      <alignment horizontal="left" vertical="center"/>
    </xf>
    <xf numFmtId="178" fontId="6" fillId="2" borderId="1" xfId="0" applyNumberFormat="1" applyFont="1" applyFill="1" applyBorder="1" applyAlignment="1">
      <alignment horizontal="center" vertical="top"/>
    </xf>
    <xf numFmtId="9" fontId="6" fillId="2" borderId="1" xfId="2" applyFont="1" applyFill="1" applyBorder="1" applyAlignment="1">
      <alignment horizontal="center" vertical="top"/>
    </xf>
    <xf numFmtId="9" fontId="6" fillId="2" borderId="1" xfId="2" applyFont="1" applyFill="1" applyBorder="1">
      <alignment vertical="center"/>
    </xf>
    <xf numFmtId="177" fontId="6" fillId="2" borderId="1" xfId="0" applyNumberFormat="1" applyFont="1" applyFill="1" applyBorder="1" applyAlignment="1">
      <alignment horizontal="center" vertical="top"/>
    </xf>
    <xf numFmtId="176" fontId="6" fillId="2" borderId="1" xfId="0" applyNumberFormat="1" applyFont="1" applyFill="1" applyBorder="1" applyAlignment="1">
      <alignment horizontal="center" vertical="top"/>
    </xf>
    <xf numFmtId="0" fontId="11" fillId="0" borderId="0" xfId="0" applyFont="1">
      <alignment vertical="center"/>
    </xf>
    <xf numFmtId="0" fontId="11" fillId="0" borderId="13" xfId="0" applyFont="1" applyBorder="1">
      <alignment vertical="center"/>
    </xf>
    <xf numFmtId="0" fontId="11" fillId="0" borderId="18" xfId="0" applyFont="1" applyBorder="1">
      <alignment vertical="center"/>
    </xf>
    <xf numFmtId="0" fontId="11" fillId="0" borderId="19" xfId="0" applyFont="1" applyBorder="1">
      <alignment vertical="center"/>
    </xf>
    <xf numFmtId="0" fontId="11" fillId="0" borderId="9" xfId="0" applyFont="1" applyBorder="1">
      <alignment vertical="center"/>
    </xf>
    <xf numFmtId="0" fontId="11" fillId="0" borderId="17" xfId="0" applyFont="1" applyBorder="1">
      <alignment vertical="center"/>
    </xf>
    <xf numFmtId="0" fontId="11" fillId="0" borderId="14" xfId="0" applyFont="1" applyBorder="1">
      <alignment vertical="center"/>
    </xf>
    <xf numFmtId="0" fontId="11" fillId="0" borderId="12" xfId="0" applyFont="1" applyBorder="1">
      <alignment vertical="center"/>
    </xf>
    <xf numFmtId="0" fontId="11" fillId="0" borderId="16" xfId="0" applyFont="1" applyBorder="1">
      <alignment vertical="center"/>
    </xf>
    <xf numFmtId="0" fontId="11" fillId="0" borderId="15" xfId="0" applyFont="1" applyBorder="1">
      <alignment vertical="center"/>
    </xf>
    <xf numFmtId="0" fontId="11" fillId="0" borderId="11" xfId="0" applyFont="1" applyBorder="1">
      <alignment vertical="center"/>
    </xf>
    <xf numFmtId="0" fontId="11" fillId="0" borderId="10" xfId="0" applyFont="1" applyBorder="1">
      <alignment vertical="center"/>
    </xf>
    <xf numFmtId="0" fontId="11" fillId="0" borderId="16" xfId="0" quotePrefix="1" applyFont="1" applyBorder="1">
      <alignment vertical="center"/>
    </xf>
    <xf numFmtId="0" fontId="11" fillId="5" borderId="16" xfId="0" applyFont="1" applyFill="1" applyBorder="1">
      <alignment vertical="center"/>
    </xf>
    <xf numFmtId="0" fontId="11" fillId="5" borderId="16" xfId="0" quotePrefix="1" applyFont="1" applyFill="1" applyBorder="1">
      <alignment vertical="center"/>
    </xf>
    <xf numFmtId="0" fontId="11" fillId="5" borderId="16" xfId="0" applyFont="1" applyFill="1" applyBorder="1" applyAlignment="1">
      <alignment vertical="center" wrapText="1"/>
    </xf>
    <xf numFmtId="0" fontId="11" fillId="0" borderId="20" xfId="0" applyFont="1" applyBorder="1">
      <alignment vertical="center"/>
    </xf>
    <xf numFmtId="0" fontId="11" fillId="0" borderId="17" xfId="0" applyFont="1" applyBorder="1" applyAlignment="1">
      <alignment vertical="center" wrapText="1"/>
    </xf>
    <xf numFmtId="0" fontId="11" fillId="5" borderId="12" xfId="0" applyFont="1" applyFill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77" fontId="6" fillId="5" borderId="1" xfId="0" applyNumberFormat="1" applyFont="1" applyFill="1" applyBorder="1" applyAlignment="1">
      <alignment vertical="top"/>
    </xf>
    <xf numFmtId="177" fontId="6" fillId="6" borderId="1" xfId="0" applyNumberFormat="1" applyFont="1" applyFill="1" applyBorder="1" applyAlignment="1">
      <alignment vertical="top"/>
    </xf>
    <xf numFmtId="177" fontId="6" fillId="6" borderId="1" xfId="0" applyNumberFormat="1" applyFont="1" applyFill="1" applyBorder="1" applyAlignment="1">
      <alignment horizontal="center" vertical="top"/>
    </xf>
  </cellXfs>
  <cellStyles count="4">
    <cellStyle name="パーセント" xfId="2" builtinId="5"/>
    <cellStyle name="桁区切り" xfId="1" builtinId="6"/>
    <cellStyle name="標準" xfId="0" builtinId="0"/>
    <cellStyle name="標準 2" xfId="3" xr:uid="{E5C7AB06-F91C-4D7D-BC7A-D8F7F6375F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2FA8-D386-454E-9F78-3BA581BE3891}">
  <sheetPr codeName="Sheet1">
    <tabColor rgb="FF00B050"/>
    <pageSetUpPr fitToPage="1"/>
  </sheetPr>
  <dimension ref="B1:Z105"/>
  <sheetViews>
    <sheetView tabSelected="1" showOutlineSymbols="0" view="pageBreakPreview" topLeftCell="A20" zoomScale="80" zoomScaleNormal="100" zoomScaleSheetLayoutView="80" workbookViewId="0">
      <selection activeCell="D25" sqref="D25"/>
    </sheetView>
  </sheetViews>
  <sheetFormatPr defaultColWidth="9" defaultRowHeight="16.149999999999999"/>
  <cols>
    <col min="1" max="1" width="7.125" style="1" customWidth="1"/>
    <col min="2" max="2" width="10.75" style="1" customWidth="1"/>
    <col min="3" max="3" width="24.25" style="1" customWidth="1"/>
    <col min="4" max="4" width="25.875" style="1" bestFit="1" customWidth="1"/>
    <col min="5" max="5" width="6.375" style="1" customWidth="1"/>
    <col min="6" max="6" width="61.75" style="1" customWidth="1"/>
    <col min="7" max="7" width="8.25" style="1" customWidth="1"/>
    <col min="8" max="15" width="10.75" style="1" customWidth="1"/>
    <col min="16" max="17" width="9" style="1"/>
    <col min="18" max="18" width="10.75" style="1" bestFit="1" customWidth="1"/>
    <col min="19" max="20" width="10.5" style="1" customWidth="1"/>
    <col min="21" max="16384" width="9" style="1"/>
  </cols>
  <sheetData>
    <row r="1" spans="2:26">
      <c r="G1" s="2" t="s">
        <v>0</v>
      </c>
    </row>
    <row r="2" spans="2:26" ht="19.899999999999999">
      <c r="B2" s="54" t="s">
        <v>1</v>
      </c>
      <c r="C2" s="54"/>
      <c r="D2" s="54"/>
      <c r="E2" s="54"/>
      <c r="F2" s="54"/>
    </row>
    <row r="4" spans="2:26">
      <c r="B4" s="1" t="s">
        <v>2</v>
      </c>
    </row>
    <row r="5" spans="2:26">
      <c r="F5" s="3" t="s">
        <v>3</v>
      </c>
    </row>
    <row r="7" spans="2:26">
      <c r="B7" s="1" t="s">
        <v>4</v>
      </c>
    </row>
    <row r="9" spans="2:26">
      <c r="B9" s="4" t="s">
        <v>5</v>
      </c>
      <c r="C9" s="19">
        <v>46017</v>
      </c>
      <c r="D9" s="4"/>
    </row>
    <row r="10" spans="2:26">
      <c r="B10" s="4" t="s">
        <v>6</v>
      </c>
      <c r="C10" s="19">
        <v>46053</v>
      </c>
      <c r="D10" s="4"/>
    </row>
    <row r="13" spans="2:26" ht="18">
      <c r="B13" s="1" t="s">
        <v>7</v>
      </c>
      <c r="O13"/>
      <c r="P13"/>
      <c r="Q13"/>
      <c r="R13"/>
      <c r="S13"/>
      <c r="T13"/>
      <c r="U13"/>
      <c r="V13"/>
      <c r="W13"/>
      <c r="X13"/>
      <c r="Y13"/>
      <c r="Z13"/>
    </row>
    <row r="14" spans="2:26" ht="18">
      <c r="B14" s="55" t="s">
        <v>8</v>
      </c>
      <c r="C14" s="55"/>
      <c r="D14" s="55"/>
      <c r="E14" s="55"/>
      <c r="F14" s="5" t="s">
        <v>9</v>
      </c>
      <c r="O14"/>
      <c r="P14"/>
      <c r="Q14"/>
      <c r="R14"/>
      <c r="S14"/>
      <c r="T14"/>
      <c r="U14"/>
      <c r="V14"/>
      <c r="W14"/>
      <c r="X14"/>
      <c r="Y14"/>
      <c r="Z14"/>
    </row>
    <row r="15" spans="2:26" ht="18">
      <c r="B15" s="56" t="s">
        <v>10</v>
      </c>
      <c r="C15" s="6" t="s">
        <v>11</v>
      </c>
      <c r="D15" s="14" t="s">
        <v>12</v>
      </c>
      <c r="E15" s="7" t="s">
        <v>13</v>
      </c>
      <c r="F15" s="4"/>
      <c r="O15"/>
      <c r="P15"/>
      <c r="Q15"/>
      <c r="R15"/>
      <c r="S15"/>
      <c r="T15"/>
      <c r="U15"/>
      <c r="V15"/>
      <c r="W15"/>
      <c r="X15"/>
      <c r="Y15"/>
      <c r="Z15"/>
    </row>
    <row r="16" spans="2:26" ht="18">
      <c r="B16" s="57"/>
      <c r="C16" s="6" t="s">
        <v>14</v>
      </c>
      <c r="D16" s="15" t="s">
        <v>15</v>
      </c>
      <c r="E16" s="7" t="s">
        <v>13</v>
      </c>
      <c r="F16" s="4"/>
      <c r="O16"/>
      <c r="P16"/>
      <c r="Q16"/>
      <c r="R16"/>
      <c r="S16"/>
      <c r="T16"/>
      <c r="U16"/>
      <c r="V16"/>
      <c r="W16"/>
      <c r="X16"/>
      <c r="Y16"/>
      <c r="Z16"/>
    </row>
    <row r="17" spans="2:26" ht="18">
      <c r="B17" s="57"/>
      <c r="C17" s="6" t="s">
        <v>16</v>
      </c>
      <c r="D17" s="15">
        <v>32.28707</v>
      </c>
      <c r="E17" s="8" t="s">
        <v>17</v>
      </c>
      <c r="F17" s="4" t="s">
        <v>18</v>
      </c>
      <c r="O17"/>
      <c r="P17"/>
      <c r="Q17"/>
      <c r="R17"/>
      <c r="S17"/>
      <c r="T17"/>
      <c r="U17"/>
      <c r="V17"/>
      <c r="W17"/>
      <c r="X17"/>
      <c r="Y17"/>
      <c r="Z17"/>
    </row>
    <row r="18" spans="2:26" ht="18">
      <c r="B18" s="57"/>
      <c r="C18" s="6" t="s">
        <v>19</v>
      </c>
      <c r="D18" s="15">
        <v>130.47507999999999</v>
      </c>
      <c r="E18" s="8" t="s">
        <v>17</v>
      </c>
      <c r="F18" s="4" t="s">
        <v>20</v>
      </c>
      <c r="O18"/>
      <c r="P18"/>
      <c r="Q18"/>
      <c r="R18"/>
      <c r="S18"/>
      <c r="T18"/>
      <c r="U18"/>
      <c r="V18"/>
      <c r="W18"/>
      <c r="X18"/>
      <c r="Y18"/>
      <c r="Z18"/>
    </row>
    <row r="19" spans="2:26" ht="18">
      <c r="B19" s="57"/>
      <c r="C19" s="6" t="s">
        <v>21</v>
      </c>
      <c r="D19" s="27">
        <v>41611</v>
      </c>
      <c r="E19" s="7" t="s">
        <v>22</v>
      </c>
      <c r="F19" s="4" t="s">
        <v>23</v>
      </c>
      <c r="O19"/>
      <c r="P19"/>
      <c r="Q19"/>
      <c r="R19"/>
      <c r="S19"/>
      <c r="T19"/>
      <c r="U19"/>
      <c r="V19"/>
      <c r="W19"/>
      <c r="X19"/>
      <c r="Y19"/>
      <c r="Z19"/>
    </row>
    <row r="20" spans="2:26" ht="18">
      <c r="B20" s="58"/>
      <c r="C20" s="6" t="s">
        <v>24</v>
      </c>
      <c r="D20" s="20">
        <v>3060060</v>
      </c>
      <c r="E20" s="18" t="s">
        <v>25</v>
      </c>
      <c r="F20" s="4"/>
      <c r="O20"/>
      <c r="P20"/>
      <c r="Q20"/>
      <c r="R20"/>
      <c r="S20"/>
      <c r="T20"/>
      <c r="U20"/>
      <c r="V20"/>
      <c r="W20"/>
      <c r="X20"/>
      <c r="Y20"/>
      <c r="Z20"/>
    </row>
    <row r="21" spans="2:26" ht="18">
      <c r="B21" s="56" t="s">
        <v>26</v>
      </c>
      <c r="C21" s="6" t="s">
        <v>27</v>
      </c>
      <c r="D21" s="21" t="s">
        <v>28</v>
      </c>
      <c r="E21" s="7" t="s">
        <v>13</v>
      </c>
      <c r="F21" s="4" t="s">
        <v>29</v>
      </c>
      <c r="O21"/>
      <c r="P21"/>
      <c r="Q21"/>
      <c r="R21"/>
      <c r="S21"/>
      <c r="T21"/>
      <c r="U21"/>
      <c r="V21"/>
      <c r="W21"/>
      <c r="X21"/>
      <c r="Y21"/>
      <c r="Z21"/>
    </row>
    <row r="22" spans="2:26" ht="18">
      <c r="B22" s="57"/>
      <c r="C22" s="9" t="s">
        <v>30</v>
      </c>
      <c r="D22" s="21">
        <v>10</v>
      </c>
      <c r="E22" s="8" t="s">
        <v>31</v>
      </c>
      <c r="F22" s="4" t="s">
        <v>32</v>
      </c>
      <c r="O22"/>
      <c r="P22"/>
      <c r="Q22"/>
      <c r="R22"/>
      <c r="S22"/>
      <c r="T22"/>
      <c r="U22"/>
      <c r="V22"/>
      <c r="W22"/>
      <c r="X22"/>
      <c r="Y22"/>
      <c r="Z22"/>
    </row>
    <row r="23" spans="2:26" ht="18">
      <c r="B23" s="57"/>
      <c r="C23" s="9" t="s">
        <v>33</v>
      </c>
      <c r="D23" s="22">
        <f>(1540.2-500)/2000+0.5</f>
        <v>1.0201</v>
      </c>
      <c r="E23" s="8" t="s">
        <v>34</v>
      </c>
      <c r="F23" s="4" t="s">
        <v>32</v>
      </c>
      <c r="O23"/>
      <c r="P23"/>
      <c r="Q23"/>
      <c r="R23"/>
      <c r="S23"/>
      <c r="T23"/>
      <c r="U23"/>
      <c r="V23"/>
      <c r="W23"/>
      <c r="X23"/>
      <c r="Y23"/>
      <c r="Z23"/>
    </row>
    <row r="24" spans="2:26" ht="18">
      <c r="B24" s="57"/>
      <c r="C24" s="9" t="s">
        <v>35</v>
      </c>
      <c r="D24" s="22">
        <v>0.5</v>
      </c>
      <c r="E24" s="8" t="s">
        <v>34</v>
      </c>
      <c r="F24" s="4" t="s">
        <v>32</v>
      </c>
      <c r="O24"/>
      <c r="P24"/>
      <c r="Q24"/>
      <c r="R24"/>
      <c r="S24"/>
      <c r="T24"/>
      <c r="U24"/>
      <c r="V24"/>
      <c r="W24"/>
      <c r="X24"/>
      <c r="Y24"/>
      <c r="Z24"/>
    </row>
    <row r="25" spans="2:26" ht="18">
      <c r="B25" s="58"/>
      <c r="C25" s="9" t="s">
        <v>36</v>
      </c>
      <c r="D25" s="63">
        <f>5.924</f>
        <v>5.9240000000000004</v>
      </c>
      <c r="E25" s="8" t="s">
        <v>37</v>
      </c>
      <c r="F25" s="4" t="s">
        <v>32</v>
      </c>
      <c r="O25"/>
      <c r="P25"/>
      <c r="Q25"/>
      <c r="R25"/>
      <c r="S25"/>
      <c r="T25"/>
      <c r="U25"/>
      <c r="V25"/>
      <c r="W25"/>
      <c r="X25"/>
      <c r="Y25"/>
      <c r="Z25"/>
    </row>
    <row r="26" spans="2:26" ht="18">
      <c r="B26" s="56" t="s">
        <v>38</v>
      </c>
      <c r="C26" s="9" t="s">
        <v>39</v>
      </c>
      <c r="D26" s="23" t="s">
        <v>40</v>
      </c>
      <c r="E26" s="7" t="s">
        <v>13</v>
      </c>
      <c r="F26" s="4" t="s">
        <v>41</v>
      </c>
      <c r="O26"/>
      <c r="P26"/>
      <c r="Q26"/>
      <c r="R26"/>
      <c r="S26"/>
      <c r="T26"/>
      <c r="U26"/>
      <c r="V26"/>
      <c r="W26"/>
      <c r="X26"/>
      <c r="Y26"/>
      <c r="Z26"/>
    </row>
    <row r="27" spans="2:26" ht="18">
      <c r="B27" s="57"/>
      <c r="C27" s="9" t="s">
        <v>42</v>
      </c>
      <c r="D27" s="24">
        <v>34</v>
      </c>
      <c r="E27" s="8" t="s">
        <v>43</v>
      </c>
      <c r="F27" s="4" t="s">
        <v>44</v>
      </c>
      <c r="O27"/>
      <c r="P27"/>
      <c r="Q27"/>
      <c r="R27"/>
      <c r="S27"/>
      <c r="T27"/>
      <c r="U27"/>
      <c r="V27"/>
      <c r="W27"/>
      <c r="X27"/>
      <c r="Y27"/>
      <c r="Z27"/>
    </row>
    <row r="28" spans="2:26" ht="18">
      <c r="B28" s="57"/>
      <c r="C28" s="9" t="s">
        <v>45</v>
      </c>
      <c r="D28" s="24" t="s">
        <v>46</v>
      </c>
      <c r="E28" s="7" t="s">
        <v>13</v>
      </c>
      <c r="F28" s="4" t="s">
        <v>47</v>
      </c>
      <c r="O28"/>
      <c r="P28"/>
      <c r="Q28"/>
      <c r="R28"/>
      <c r="S28"/>
      <c r="T28"/>
      <c r="U28"/>
      <c r="V28"/>
      <c r="W28"/>
      <c r="X28"/>
      <c r="Y28"/>
      <c r="Z28"/>
    </row>
    <row r="29" spans="2:26" ht="18">
      <c r="B29" s="57"/>
      <c r="C29" s="9" t="s">
        <v>48</v>
      </c>
      <c r="D29" s="28" t="s">
        <v>49</v>
      </c>
      <c r="E29" s="7" t="s">
        <v>13</v>
      </c>
      <c r="F29" s="4" t="s">
        <v>44</v>
      </c>
      <c r="O29"/>
      <c r="P29"/>
      <c r="Q29"/>
      <c r="R29"/>
      <c r="S29"/>
      <c r="T29"/>
      <c r="U29"/>
      <c r="V29"/>
      <c r="W29"/>
      <c r="X29"/>
      <c r="Y29"/>
      <c r="Z29"/>
    </row>
    <row r="30" spans="2:26" ht="18">
      <c r="B30" s="57"/>
      <c r="C30" s="9" t="s">
        <v>50</v>
      </c>
      <c r="D30" s="24">
        <v>17.690000000000001</v>
      </c>
      <c r="E30" s="8" t="s">
        <v>51</v>
      </c>
      <c r="F30" s="4" t="s">
        <v>52</v>
      </c>
      <c r="O30"/>
      <c r="P30"/>
      <c r="Q30"/>
      <c r="R30"/>
      <c r="S30"/>
      <c r="T30"/>
      <c r="U30"/>
      <c r="V30"/>
      <c r="W30"/>
      <c r="X30"/>
      <c r="Y30"/>
      <c r="Z30"/>
    </row>
    <row r="31" spans="2:26" ht="18">
      <c r="B31" s="57"/>
      <c r="C31" s="9" t="s">
        <v>53</v>
      </c>
      <c r="D31" s="28" t="s">
        <v>49</v>
      </c>
      <c r="E31" s="7" t="s">
        <v>13</v>
      </c>
      <c r="F31" s="4" t="s">
        <v>44</v>
      </c>
      <c r="O31"/>
      <c r="P31"/>
      <c r="Q31"/>
      <c r="R31"/>
      <c r="S31"/>
      <c r="T31"/>
      <c r="U31"/>
      <c r="V31"/>
      <c r="W31"/>
      <c r="X31"/>
      <c r="Y31"/>
      <c r="Z31"/>
    </row>
    <row r="32" spans="2:26" ht="18">
      <c r="B32" s="57"/>
      <c r="C32" s="9" t="s">
        <v>54</v>
      </c>
      <c r="D32" s="23">
        <v>0.98299999999999998</v>
      </c>
      <c r="E32" s="7" t="s">
        <v>13</v>
      </c>
      <c r="F32" s="4" t="s">
        <v>44</v>
      </c>
      <c r="O32"/>
      <c r="P32"/>
      <c r="Q32"/>
      <c r="R32"/>
      <c r="S32"/>
      <c r="T32"/>
      <c r="U32"/>
      <c r="V32"/>
      <c r="W32"/>
      <c r="X32"/>
      <c r="Y32"/>
      <c r="Z32"/>
    </row>
    <row r="33" spans="2:26" ht="18">
      <c r="B33" s="57"/>
      <c r="C33" s="9" t="s">
        <v>55</v>
      </c>
      <c r="D33" s="28" t="s">
        <v>49</v>
      </c>
      <c r="E33" s="8" t="s">
        <v>56</v>
      </c>
      <c r="F33" s="4" t="s">
        <v>44</v>
      </c>
      <c r="O33"/>
      <c r="P33"/>
      <c r="Q33"/>
      <c r="R33"/>
      <c r="S33"/>
      <c r="T33"/>
      <c r="U33"/>
      <c r="V33"/>
      <c r="W33"/>
      <c r="X33"/>
      <c r="Y33"/>
      <c r="Z33"/>
    </row>
    <row r="34" spans="2:26" ht="18">
      <c r="B34" s="58"/>
      <c r="C34" s="9" t="s">
        <v>57</v>
      </c>
      <c r="D34" s="23">
        <v>2400</v>
      </c>
      <c r="E34" s="8" t="s">
        <v>56</v>
      </c>
      <c r="F34" s="4" t="s">
        <v>44</v>
      </c>
      <c r="O34"/>
      <c r="P34"/>
      <c r="Q34"/>
      <c r="R34"/>
      <c r="S34"/>
      <c r="T34"/>
      <c r="U34"/>
      <c r="V34"/>
      <c r="W34"/>
      <c r="X34"/>
      <c r="Y34"/>
      <c r="Z34"/>
    </row>
    <row r="35" spans="2:26" ht="18">
      <c r="B35" s="52" t="s">
        <v>58</v>
      </c>
      <c r="C35" s="9" t="s">
        <v>59</v>
      </c>
      <c r="D35" s="25">
        <f>1/4.8</f>
        <v>0.20833333333333334</v>
      </c>
      <c r="E35" s="7" t="s">
        <v>13</v>
      </c>
      <c r="F35" s="4" t="s">
        <v>44</v>
      </c>
      <c r="O35"/>
      <c r="P35"/>
      <c r="Q35"/>
      <c r="R35"/>
      <c r="S35"/>
      <c r="T35"/>
      <c r="U35"/>
      <c r="V35"/>
      <c r="W35"/>
      <c r="X35"/>
      <c r="Y35"/>
      <c r="Z35"/>
    </row>
    <row r="36" spans="2:26" ht="18">
      <c r="B36" s="53"/>
      <c r="C36" s="9" t="s">
        <v>60</v>
      </c>
      <c r="D36" s="25">
        <f>1/1.49</f>
        <v>0.67114093959731547</v>
      </c>
      <c r="E36" s="7" t="s">
        <v>13</v>
      </c>
      <c r="F36" s="4" t="s">
        <v>44</v>
      </c>
      <c r="O36"/>
      <c r="P36"/>
      <c r="Q36"/>
      <c r="R36"/>
      <c r="S36"/>
      <c r="T36"/>
      <c r="U36"/>
      <c r="V36"/>
      <c r="W36"/>
      <c r="X36"/>
      <c r="Y36"/>
      <c r="Z36"/>
    </row>
    <row r="37" spans="2:26" ht="18">
      <c r="B37" s="59" t="s">
        <v>61</v>
      </c>
      <c r="C37" s="10" t="s">
        <v>62</v>
      </c>
      <c r="D37" s="29"/>
      <c r="E37" s="11" t="s">
        <v>63</v>
      </c>
      <c r="F37" s="4" t="s">
        <v>64</v>
      </c>
      <c r="O37"/>
      <c r="P37"/>
      <c r="Q37"/>
      <c r="R37"/>
      <c r="S37"/>
      <c r="T37"/>
      <c r="U37"/>
      <c r="V37"/>
      <c r="W37"/>
      <c r="X37"/>
      <c r="Y37"/>
      <c r="Z37"/>
    </row>
    <row r="38" spans="2:26" ht="18">
      <c r="B38" s="60"/>
      <c r="C38" s="10" t="s">
        <v>65</v>
      </c>
      <c r="D38" s="29"/>
      <c r="E38" s="11" t="s">
        <v>63</v>
      </c>
      <c r="F38" s="4" t="s">
        <v>66</v>
      </c>
      <c r="O38"/>
      <c r="P38"/>
      <c r="Q38"/>
      <c r="R38"/>
      <c r="S38"/>
      <c r="T38"/>
      <c r="U38"/>
      <c r="V38"/>
      <c r="W38"/>
      <c r="X38"/>
      <c r="Y38"/>
      <c r="Z38"/>
    </row>
    <row r="39" spans="2:26" ht="18">
      <c r="B39" s="60"/>
      <c r="C39" s="10" t="s">
        <v>67</v>
      </c>
      <c r="D39" s="29"/>
      <c r="E39" s="11" t="s">
        <v>63</v>
      </c>
      <c r="F39" s="4" t="s">
        <v>68</v>
      </c>
      <c r="O39"/>
      <c r="P39"/>
      <c r="Q39"/>
      <c r="R39"/>
      <c r="S39"/>
      <c r="T39"/>
      <c r="U39"/>
      <c r="V39"/>
      <c r="W39"/>
      <c r="X39"/>
      <c r="Y39"/>
      <c r="Z39"/>
    </row>
    <row r="40" spans="2:26" ht="18">
      <c r="B40" s="61"/>
      <c r="C40" s="10" t="s">
        <v>69</v>
      </c>
      <c r="D40" s="29"/>
      <c r="E40" s="11" t="s">
        <v>63</v>
      </c>
      <c r="F40" s="4" t="s">
        <v>70</v>
      </c>
      <c r="O40"/>
      <c r="P40"/>
      <c r="Q40"/>
      <c r="R40"/>
      <c r="S40"/>
      <c r="T40"/>
      <c r="U40"/>
      <c r="V40"/>
      <c r="W40"/>
      <c r="X40"/>
      <c r="Y40"/>
      <c r="Z40"/>
    </row>
    <row r="41" spans="2:26" ht="18">
      <c r="C41" s="12" t="s">
        <v>71</v>
      </c>
      <c r="D41"/>
      <c r="E41"/>
      <c r="F41"/>
      <c r="O41"/>
      <c r="P41"/>
      <c r="Q41"/>
      <c r="R41"/>
      <c r="S41"/>
      <c r="T41"/>
      <c r="U41"/>
      <c r="V41"/>
      <c r="W41"/>
      <c r="X41"/>
      <c r="Y41"/>
      <c r="Z41"/>
    </row>
    <row r="42" spans="2:26" ht="18">
      <c r="O42"/>
      <c r="P42"/>
      <c r="Q42"/>
      <c r="R42"/>
      <c r="S42"/>
      <c r="T42"/>
      <c r="U42"/>
      <c r="V42"/>
      <c r="W42"/>
      <c r="X42"/>
      <c r="Y42"/>
      <c r="Z42"/>
    </row>
    <row r="43" spans="2:26" ht="18">
      <c r="G43" s="2" t="s">
        <v>0</v>
      </c>
      <c r="O43"/>
      <c r="P43"/>
      <c r="Q43"/>
      <c r="R43"/>
      <c r="S43"/>
      <c r="T43"/>
      <c r="U43"/>
      <c r="V43"/>
      <c r="W43"/>
      <c r="X43"/>
      <c r="Y43"/>
      <c r="Z43"/>
    </row>
    <row r="44" spans="2:26" ht="19.899999999999999">
      <c r="B44" s="54" t="s">
        <v>72</v>
      </c>
      <c r="C44" s="54"/>
      <c r="D44" s="54"/>
      <c r="E44" s="54"/>
      <c r="F44" s="54"/>
      <c r="O44"/>
      <c r="P44"/>
      <c r="Q44"/>
      <c r="R44"/>
      <c r="S44"/>
      <c r="T44"/>
      <c r="U44"/>
      <c r="V44"/>
      <c r="W44"/>
      <c r="X44"/>
      <c r="Y44"/>
      <c r="Z44"/>
    </row>
    <row r="45" spans="2:26" ht="18">
      <c r="O45"/>
      <c r="P45"/>
      <c r="Q45"/>
      <c r="R45"/>
      <c r="S45"/>
      <c r="T45"/>
      <c r="U45"/>
      <c r="V45"/>
      <c r="W45"/>
      <c r="X45"/>
      <c r="Y45"/>
      <c r="Z45"/>
    </row>
    <row r="46" spans="2:26" ht="18">
      <c r="B46" s="1" t="s">
        <v>2</v>
      </c>
      <c r="O46"/>
      <c r="P46"/>
      <c r="Q46"/>
      <c r="R46"/>
      <c r="S46"/>
      <c r="T46"/>
      <c r="U46"/>
      <c r="V46"/>
      <c r="W46"/>
      <c r="X46"/>
      <c r="Y46"/>
      <c r="Z46"/>
    </row>
    <row r="47" spans="2:26" ht="18">
      <c r="F47" s="3" t="str">
        <f>F5</f>
        <v>スパークス・グリーンエナジー＆テクノロジー株式会社</v>
      </c>
      <c r="O47"/>
      <c r="P47"/>
      <c r="Q47"/>
      <c r="R47"/>
      <c r="S47"/>
      <c r="T47"/>
      <c r="U47"/>
      <c r="V47"/>
      <c r="W47"/>
      <c r="X47"/>
      <c r="Y47"/>
      <c r="Z47"/>
    </row>
    <row r="48" spans="2:26" ht="18">
      <c r="O48"/>
      <c r="P48"/>
      <c r="Q48"/>
      <c r="R48"/>
      <c r="S48"/>
      <c r="T48"/>
      <c r="U48"/>
      <c r="V48"/>
      <c r="W48"/>
      <c r="X48"/>
      <c r="Y48"/>
      <c r="Z48"/>
    </row>
    <row r="49" spans="2:26" ht="18">
      <c r="B49" s="1" t="s">
        <v>4</v>
      </c>
      <c r="O49"/>
      <c r="P49"/>
      <c r="Q49"/>
      <c r="R49"/>
      <c r="S49"/>
      <c r="T49"/>
      <c r="U49"/>
      <c r="V49"/>
      <c r="W49"/>
      <c r="X49"/>
      <c r="Y49"/>
      <c r="Z49"/>
    </row>
    <row r="50" spans="2:26" ht="12" customHeight="1">
      <c r="O50"/>
      <c r="P50"/>
      <c r="Q50"/>
      <c r="R50"/>
      <c r="S50"/>
      <c r="T50"/>
      <c r="U50"/>
      <c r="V50"/>
      <c r="W50"/>
      <c r="X50"/>
      <c r="Y50"/>
      <c r="Z50"/>
    </row>
    <row r="51" spans="2:26" ht="18">
      <c r="B51" s="4" t="s">
        <v>5</v>
      </c>
      <c r="C51" s="19">
        <f>C9</f>
        <v>46017</v>
      </c>
      <c r="D51" s="4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2:26" ht="18">
      <c r="B52" s="4" t="s">
        <v>6</v>
      </c>
      <c r="C52" s="19">
        <f>C10</f>
        <v>46053</v>
      </c>
      <c r="D52" s="4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2:26" ht="18">
      <c r="P53"/>
      <c r="Q53"/>
      <c r="R53"/>
      <c r="S53"/>
      <c r="T53"/>
      <c r="U53"/>
      <c r="V53"/>
    </row>
    <row r="54" spans="2:26" ht="18">
      <c r="P54"/>
      <c r="Q54"/>
      <c r="R54"/>
      <c r="S54"/>
      <c r="T54"/>
      <c r="U54"/>
      <c r="V54"/>
    </row>
    <row r="55" spans="2:26" ht="18">
      <c r="B55" s="1" t="s">
        <v>7</v>
      </c>
      <c r="P55"/>
      <c r="Q55"/>
      <c r="R55"/>
      <c r="S55"/>
      <c r="T55"/>
      <c r="U55"/>
      <c r="V55"/>
    </row>
    <row r="56" spans="2:26" ht="18">
      <c r="B56" s="55" t="s">
        <v>8</v>
      </c>
      <c r="C56" s="55"/>
      <c r="D56" s="55"/>
      <c r="E56" s="55"/>
      <c r="F56" s="5" t="s">
        <v>9</v>
      </c>
      <c r="P56"/>
      <c r="Q56"/>
      <c r="R56"/>
      <c r="S56"/>
      <c r="T56"/>
      <c r="U56"/>
      <c r="V56"/>
    </row>
    <row r="57" spans="2:26" ht="18">
      <c r="B57" s="56" t="s">
        <v>10</v>
      </c>
      <c r="C57" s="6" t="s">
        <v>11</v>
      </c>
      <c r="D57" s="14" t="str">
        <f>D15</f>
        <v>SGET芦北メガソーラー発電所</v>
      </c>
      <c r="E57" s="7" t="s">
        <v>13</v>
      </c>
      <c r="F57" s="4"/>
      <c r="P57"/>
      <c r="Q57"/>
      <c r="R57"/>
      <c r="S57"/>
      <c r="T57"/>
      <c r="U57"/>
      <c r="V57"/>
    </row>
    <row r="58" spans="2:26" ht="18">
      <c r="B58" s="57"/>
      <c r="C58" s="6" t="s">
        <v>14</v>
      </c>
      <c r="D58" s="15" t="str">
        <f>D16</f>
        <v>熊本県葦北郡芦北町女島770番地4</v>
      </c>
      <c r="E58" s="7" t="s">
        <v>13</v>
      </c>
      <c r="F58" s="4"/>
      <c r="P58"/>
      <c r="Q58"/>
      <c r="R58"/>
      <c r="S58"/>
      <c r="T58"/>
      <c r="U58"/>
      <c r="V58"/>
    </row>
    <row r="59" spans="2:26" ht="18">
      <c r="B59" s="57"/>
      <c r="C59" s="6" t="s">
        <v>16</v>
      </c>
      <c r="D59" s="15">
        <f>D17</f>
        <v>32.28707</v>
      </c>
      <c r="E59" s="8" t="s">
        <v>17</v>
      </c>
      <c r="F59" s="4" t="s">
        <v>18</v>
      </c>
      <c r="P59"/>
      <c r="Q59"/>
      <c r="R59"/>
      <c r="S59"/>
      <c r="T59"/>
      <c r="U59"/>
      <c r="V59"/>
    </row>
    <row r="60" spans="2:26" ht="18">
      <c r="B60" s="57"/>
      <c r="C60" s="6" t="s">
        <v>19</v>
      </c>
      <c r="D60" s="15">
        <f>D18</f>
        <v>130.47507999999999</v>
      </c>
      <c r="E60" s="8" t="s">
        <v>17</v>
      </c>
      <c r="F60" s="4" t="s">
        <v>20</v>
      </c>
      <c r="P60"/>
      <c r="Q60"/>
      <c r="R60"/>
      <c r="S60"/>
      <c r="T60"/>
      <c r="U60"/>
      <c r="V60"/>
    </row>
    <row r="61" spans="2:26" ht="18">
      <c r="B61" s="58"/>
      <c r="C61" s="6" t="s">
        <v>24</v>
      </c>
      <c r="D61" s="16">
        <f>D20</f>
        <v>3060060</v>
      </c>
      <c r="E61" s="18" t="s">
        <v>25</v>
      </c>
      <c r="F61" s="4"/>
      <c r="P61"/>
      <c r="Q61"/>
      <c r="R61"/>
      <c r="S61"/>
      <c r="T61"/>
      <c r="U61"/>
      <c r="V61"/>
    </row>
    <row r="62" spans="2:26" ht="18">
      <c r="B62" s="59" t="s">
        <v>61</v>
      </c>
      <c r="C62" s="10" t="s">
        <v>62</v>
      </c>
      <c r="D62" s="30"/>
      <c r="E62" s="11" t="s">
        <v>63</v>
      </c>
      <c r="F62" s="4" t="s">
        <v>64</v>
      </c>
      <c r="P62"/>
      <c r="Q62"/>
      <c r="R62"/>
      <c r="S62"/>
      <c r="T62"/>
      <c r="U62"/>
      <c r="V62"/>
    </row>
    <row r="63" spans="2:26">
      <c r="B63" s="60"/>
      <c r="C63" s="10" t="s">
        <v>65</v>
      </c>
      <c r="D63" s="30"/>
      <c r="E63" s="11" t="s">
        <v>63</v>
      </c>
      <c r="F63" s="4" t="s">
        <v>66</v>
      </c>
    </row>
    <row r="64" spans="2:26">
      <c r="B64" s="60"/>
      <c r="C64" s="10" t="s">
        <v>67</v>
      </c>
      <c r="D64" s="30"/>
      <c r="E64" s="11" t="s">
        <v>63</v>
      </c>
      <c r="F64" s="4" t="s">
        <v>68</v>
      </c>
    </row>
    <row r="65" spans="2:9">
      <c r="B65" s="61"/>
      <c r="C65" s="10" t="s">
        <v>69</v>
      </c>
      <c r="D65" s="30"/>
      <c r="E65" s="11" t="s">
        <v>63</v>
      </c>
      <c r="F65" s="4" t="s">
        <v>70</v>
      </c>
    </row>
    <row r="66" spans="2:9" ht="18">
      <c r="C66" s="12"/>
      <c r="D66"/>
      <c r="E66"/>
      <c r="F66"/>
    </row>
    <row r="68" spans="2:9" ht="18">
      <c r="B68"/>
      <c r="C68"/>
      <c r="D68"/>
      <c r="E68"/>
      <c r="F68"/>
      <c r="H68"/>
      <c r="I68"/>
    </row>
    <row r="69" spans="2:9" ht="18">
      <c r="B69"/>
      <c r="C69"/>
      <c r="D69"/>
      <c r="E69"/>
      <c r="F69"/>
      <c r="H69"/>
      <c r="I69"/>
    </row>
    <row r="70" spans="2:9" ht="18">
      <c r="C70"/>
      <c r="D70"/>
      <c r="E70"/>
      <c r="F70"/>
      <c r="G70" s="13"/>
      <c r="H70"/>
      <c r="I70"/>
    </row>
    <row r="71" spans="2:9" ht="18">
      <c r="C71"/>
      <c r="D71"/>
      <c r="E71"/>
      <c r="F71"/>
      <c r="G71" s="13"/>
      <c r="H71"/>
      <c r="I71"/>
    </row>
    <row r="72" spans="2:9" ht="18">
      <c r="C72"/>
      <c r="D72"/>
      <c r="E72"/>
      <c r="F72"/>
      <c r="G72" s="13"/>
      <c r="H72"/>
      <c r="I72"/>
    </row>
    <row r="73" spans="2:9" ht="18">
      <c r="C73"/>
      <c r="D73"/>
      <c r="E73"/>
      <c r="F73"/>
      <c r="G73" s="13"/>
      <c r="H73"/>
      <c r="I73"/>
    </row>
    <row r="74" spans="2:9" ht="18">
      <c r="C74"/>
      <c r="D74"/>
      <c r="E74"/>
      <c r="F74"/>
      <c r="G74" s="13"/>
      <c r="H74"/>
      <c r="I74"/>
    </row>
    <row r="75" spans="2:9" ht="18">
      <c r="C75"/>
      <c r="D75"/>
      <c r="E75"/>
      <c r="F75"/>
      <c r="G75" s="13"/>
      <c r="H75"/>
      <c r="I75"/>
    </row>
    <row r="76" spans="2:9" ht="18">
      <c r="C76"/>
      <c r="D76"/>
      <c r="E76"/>
      <c r="F76"/>
    </row>
    <row r="77" spans="2:9" ht="18">
      <c r="C77"/>
      <c r="D77"/>
      <c r="E77"/>
      <c r="F77"/>
    </row>
    <row r="78" spans="2:9" ht="18">
      <c r="C78"/>
      <c r="D78"/>
      <c r="E78"/>
      <c r="F78"/>
    </row>
    <row r="79" spans="2:9" ht="18">
      <c r="C79"/>
      <c r="D79"/>
      <c r="E79"/>
      <c r="F79"/>
    </row>
    <row r="80" spans="2:9" ht="18">
      <c r="C80"/>
      <c r="D80"/>
      <c r="E80"/>
      <c r="F80"/>
    </row>
    <row r="81" spans="2:6" ht="18">
      <c r="C81"/>
      <c r="D81"/>
      <c r="E81"/>
      <c r="F81"/>
    </row>
    <row r="82" spans="2:6" ht="18">
      <c r="C82"/>
      <c r="D82"/>
      <c r="E82"/>
      <c r="F82"/>
    </row>
    <row r="83" spans="2:6" ht="18">
      <c r="C83"/>
      <c r="D83"/>
      <c r="E83"/>
      <c r="F83"/>
    </row>
    <row r="84" spans="2:6" ht="18">
      <c r="C84"/>
      <c r="D84"/>
      <c r="E84"/>
      <c r="F84"/>
    </row>
    <row r="85" spans="2:6" ht="18">
      <c r="C85"/>
      <c r="D85"/>
      <c r="E85"/>
      <c r="F85"/>
    </row>
    <row r="86" spans="2:6" ht="18">
      <c r="C86"/>
      <c r="D86"/>
      <c r="E86"/>
      <c r="F86"/>
    </row>
    <row r="87" spans="2:6" ht="18">
      <c r="C87"/>
      <c r="D87"/>
      <c r="E87"/>
      <c r="F87"/>
    </row>
    <row r="88" spans="2:6" ht="18">
      <c r="C88"/>
      <c r="D88"/>
      <c r="E88"/>
      <c r="F88"/>
    </row>
    <row r="89" spans="2:6" ht="18">
      <c r="C89"/>
      <c r="D89"/>
      <c r="E89"/>
      <c r="F89"/>
    </row>
    <row r="90" spans="2:6" ht="18">
      <c r="C90"/>
      <c r="D90"/>
      <c r="E90"/>
      <c r="F90"/>
    </row>
    <row r="91" spans="2:6" ht="18">
      <c r="C91"/>
      <c r="D91"/>
      <c r="E91"/>
      <c r="F91"/>
    </row>
    <row r="92" spans="2:6" ht="18">
      <c r="C92"/>
      <c r="D92"/>
      <c r="E92"/>
      <c r="F92"/>
    </row>
    <row r="93" spans="2:6" ht="18">
      <c r="C93"/>
      <c r="D93"/>
      <c r="E93"/>
      <c r="F93"/>
    </row>
    <row r="94" spans="2:6" ht="18">
      <c r="C94"/>
      <c r="D94"/>
      <c r="E94"/>
      <c r="F94"/>
    </row>
    <row r="95" spans="2:6" ht="18">
      <c r="C95"/>
      <c r="D95"/>
      <c r="E95"/>
      <c r="F95"/>
    </row>
    <row r="96" spans="2:6" ht="18">
      <c r="B96"/>
      <c r="C96"/>
      <c r="D96"/>
      <c r="E96"/>
      <c r="F96"/>
    </row>
    <row r="97" spans="2:6" ht="13.5" customHeight="1">
      <c r="B97"/>
      <c r="C97"/>
      <c r="D97"/>
      <c r="E97"/>
      <c r="F97"/>
    </row>
    <row r="98" spans="2:6" ht="18">
      <c r="B98"/>
      <c r="C98"/>
      <c r="D98"/>
      <c r="E98"/>
      <c r="F98"/>
    </row>
    <row r="99" spans="2:6" ht="18">
      <c r="B99"/>
      <c r="C99"/>
      <c r="D99"/>
      <c r="E99"/>
      <c r="F99"/>
    </row>
    <row r="100" spans="2:6" ht="18">
      <c r="B100"/>
      <c r="C100"/>
      <c r="D100"/>
      <c r="E100"/>
      <c r="F100"/>
    </row>
    <row r="101" spans="2:6" ht="18">
      <c r="B101"/>
      <c r="C101"/>
      <c r="D101"/>
      <c r="E101"/>
      <c r="F101"/>
    </row>
    <row r="102" spans="2:6" ht="18">
      <c r="B102"/>
      <c r="C102"/>
      <c r="D102"/>
      <c r="E102"/>
      <c r="F102"/>
    </row>
    <row r="103" spans="2:6" ht="18">
      <c r="B103"/>
      <c r="C103"/>
      <c r="D103"/>
      <c r="E103"/>
      <c r="F103"/>
    </row>
    <row r="104" spans="2:6" ht="18">
      <c r="B104"/>
      <c r="C104"/>
      <c r="D104"/>
      <c r="E104"/>
      <c r="F104"/>
    </row>
    <row r="105" spans="2:6" ht="18">
      <c r="B105"/>
      <c r="C105"/>
      <c r="D105"/>
      <c r="E105"/>
      <c r="F105"/>
    </row>
  </sheetData>
  <mergeCells count="11">
    <mergeCell ref="B44:F44"/>
    <mergeCell ref="B56:E56"/>
    <mergeCell ref="B57:B61"/>
    <mergeCell ref="B62:B65"/>
    <mergeCell ref="B37:B40"/>
    <mergeCell ref="B35:B36"/>
    <mergeCell ref="B2:F2"/>
    <mergeCell ref="B14:E14"/>
    <mergeCell ref="B15:B20"/>
    <mergeCell ref="B21:B25"/>
    <mergeCell ref="B26:B34"/>
  </mergeCells>
  <phoneticPr fontId="3"/>
  <dataValidations count="3">
    <dataValidation type="list" allowBlank="1" showInputMessage="1" showErrorMessage="1" sqref="D28" xr:uid="{05919D73-36D1-4625-AB1D-0F6D28183A71}">
      <formula1>"Ⅰ,Ⅱ,Ⅲ,Ⅳ"</formula1>
    </dataValidation>
    <dataValidation type="list" allowBlank="1" showInputMessage="1" showErrorMessage="1" sqref="D21" xr:uid="{1618A441-D887-4578-8A11-637E76F6A045}">
      <formula1>"極めて重要,通常"</formula1>
    </dataValidation>
    <dataValidation type="list" allowBlank="1" showInputMessage="1" showErrorMessage="1" sqref="D26" xr:uid="{55894EF6-43B1-4E97-B4D4-596B9E3B36D1}">
      <formula1>"JIS-C8955(2004年版),JIS-C8955(2017年版),NEDOガイドライン(2019年版)"</formula1>
    </dataValidation>
  </dataValidations>
  <pageMargins left="0.25" right="0.25" top="0.75" bottom="0.75" header="0.3" footer="0.3"/>
  <pageSetup paperSize="9" scale="59" orientation="portrait" r:id="rId1"/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529D-EAC5-406B-8675-A489DC654A5F}">
  <sheetPr>
    <tabColor rgb="FF00B050"/>
    <pageSetUpPr fitToPage="1"/>
  </sheetPr>
  <dimension ref="B1:Z78"/>
  <sheetViews>
    <sheetView showOutlineSymbols="0" view="pageBreakPreview" topLeftCell="A18" zoomScale="80" zoomScaleNormal="100" zoomScaleSheetLayoutView="80" workbookViewId="0">
      <selection activeCell="D21" sqref="D21"/>
    </sheetView>
  </sheetViews>
  <sheetFormatPr defaultColWidth="9" defaultRowHeight="16.149999999999999"/>
  <cols>
    <col min="1" max="1" width="7.125" style="1" customWidth="1"/>
    <col min="2" max="2" width="10.75" style="1" customWidth="1"/>
    <col min="3" max="3" width="24.25" style="1" customWidth="1"/>
    <col min="4" max="4" width="25.875" style="1" bestFit="1" customWidth="1"/>
    <col min="5" max="5" width="6.375" style="1" customWidth="1"/>
    <col min="6" max="6" width="61.75" style="1" customWidth="1"/>
    <col min="7" max="7" width="8.25" style="1" customWidth="1"/>
    <col min="8" max="15" width="10.75" style="1" customWidth="1"/>
    <col min="16" max="17" width="9" style="1"/>
    <col min="18" max="18" width="10.75" style="1" bestFit="1" customWidth="1"/>
    <col min="19" max="20" width="10.5" style="1" customWidth="1"/>
    <col min="21" max="16384" width="9" style="1"/>
  </cols>
  <sheetData>
    <row r="1" spans="2:26">
      <c r="G1" s="2" t="s">
        <v>0</v>
      </c>
    </row>
    <row r="2" spans="2:26" ht="19.899999999999999">
      <c r="B2" s="54" t="s">
        <v>1</v>
      </c>
      <c r="C2" s="54"/>
      <c r="D2" s="54"/>
      <c r="E2" s="54"/>
      <c r="F2" s="54"/>
    </row>
    <row r="4" spans="2:26">
      <c r="B4" s="1" t="s">
        <v>2</v>
      </c>
    </row>
    <row r="5" spans="2:26">
      <c r="F5" s="3" t="s">
        <v>3</v>
      </c>
    </row>
    <row r="7" spans="2:26">
      <c r="B7" s="1" t="s">
        <v>4</v>
      </c>
    </row>
    <row r="9" spans="2:26">
      <c r="B9" s="4" t="s">
        <v>5</v>
      </c>
      <c r="C9" s="19">
        <v>46017</v>
      </c>
      <c r="D9" s="4"/>
    </row>
    <row r="10" spans="2:26">
      <c r="B10" s="4" t="s">
        <v>6</v>
      </c>
      <c r="C10" s="19">
        <v>46053</v>
      </c>
      <c r="D10" s="4"/>
    </row>
    <row r="13" spans="2:26" ht="18">
      <c r="B13" s="1" t="s">
        <v>7</v>
      </c>
      <c r="O13"/>
      <c r="P13"/>
      <c r="Q13"/>
      <c r="R13"/>
      <c r="S13"/>
      <c r="T13"/>
      <c r="U13"/>
      <c r="V13"/>
      <c r="W13"/>
      <c r="X13"/>
      <c r="Y13"/>
      <c r="Z13"/>
    </row>
    <row r="14" spans="2:26" ht="18">
      <c r="B14" s="55" t="s">
        <v>8</v>
      </c>
      <c r="C14" s="55"/>
      <c r="D14" s="55"/>
      <c r="E14" s="55"/>
      <c r="F14" s="5" t="s">
        <v>9</v>
      </c>
      <c r="O14"/>
      <c r="P14"/>
      <c r="Q14"/>
      <c r="R14"/>
      <c r="S14"/>
      <c r="T14"/>
      <c r="U14"/>
      <c r="V14"/>
      <c r="W14"/>
      <c r="X14"/>
      <c r="Y14"/>
      <c r="Z14"/>
    </row>
    <row r="15" spans="2:26" ht="18">
      <c r="B15" s="56" t="s">
        <v>10</v>
      </c>
      <c r="C15" s="6" t="s">
        <v>11</v>
      </c>
      <c r="D15" s="14" t="s">
        <v>73</v>
      </c>
      <c r="E15" s="7" t="s">
        <v>13</v>
      </c>
      <c r="F15" s="4"/>
      <c r="O15"/>
      <c r="P15"/>
      <c r="Q15"/>
      <c r="R15"/>
      <c r="S15"/>
      <c r="T15"/>
      <c r="U15"/>
      <c r="V15"/>
      <c r="W15"/>
      <c r="X15"/>
      <c r="Y15"/>
      <c r="Z15"/>
    </row>
    <row r="16" spans="2:26" ht="18">
      <c r="B16" s="57"/>
      <c r="C16" s="6" t="s">
        <v>14</v>
      </c>
      <c r="D16" s="15" t="s">
        <v>74</v>
      </c>
      <c r="E16" s="7" t="s">
        <v>13</v>
      </c>
      <c r="F16" s="4"/>
      <c r="O16"/>
      <c r="P16"/>
      <c r="Q16"/>
      <c r="R16"/>
      <c r="S16"/>
      <c r="T16"/>
      <c r="U16"/>
      <c r="V16"/>
      <c r="W16"/>
      <c r="X16"/>
      <c r="Y16"/>
      <c r="Z16"/>
    </row>
    <row r="17" spans="2:26" ht="18">
      <c r="B17" s="57"/>
      <c r="C17" s="6" t="s">
        <v>16</v>
      </c>
      <c r="D17" s="15">
        <v>40.209980000000002</v>
      </c>
      <c r="E17" s="8" t="s">
        <v>17</v>
      </c>
      <c r="F17" s="4" t="s">
        <v>18</v>
      </c>
      <c r="O17"/>
      <c r="P17"/>
      <c r="Q17"/>
      <c r="R17"/>
      <c r="S17"/>
      <c r="T17"/>
      <c r="U17"/>
      <c r="V17"/>
      <c r="W17"/>
      <c r="X17"/>
      <c r="Y17"/>
      <c r="Z17"/>
    </row>
    <row r="18" spans="2:26" ht="18">
      <c r="B18" s="57"/>
      <c r="C18" s="6" t="s">
        <v>19</v>
      </c>
      <c r="D18" s="15">
        <v>140.38612000000001</v>
      </c>
      <c r="E18" s="8" t="s">
        <v>17</v>
      </c>
      <c r="F18" s="4" t="s">
        <v>20</v>
      </c>
      <c r="O18"/>
      <c r="P18"/>
      <c r="Q18"/>
      <c r="R18"/>
      <c r="S18"/>
      <c r="T18"/>
      <c r="U18"/>
      <c r="V18"/>
      <c r="W18"/>
      <c r="X18"/>
      <c r="Y18"/>
      <c r="Z18"/>
    </row>
    <row r="19" spans="2:26" ht="18">
      <c r="B19" s="57"/>
      <c r="C19" s="6" t="s">
        <v>21</v>
      </c>
      <c r="D19" s="27">
        <v>41636</v>
      </c>
      <c r="E19" s="7" t="s">
        <v>22</v>
      </c>
      <c r="F19" s="4" t="s">
        <v>23</v>
      </c>
      <c r="O19"/>
      <c r="P19"/>
      <c r="Q19"/>
      <c r="R19"/>
      <c r="S19"/>
      <c r="T19"/>
      <c r="U19"/>
      <c r="V19"/>
      <c r="W19"/>
      <c r="X19"/>
      <c r="Y19"/>
      <c r="Z19"/>
    </row>
    <row r="20" spans="2:26" ht="18">
      <c r="B20" s="58"/>
      <c r="C20" s="6" t="s">
        <v>24</v>
      </c>
      <c r="D20" s="20">
        <v>535847</v>
      </c>
      <c r="E20" s="18" t="s">
        <v>25</v>
      </c>
      <c r="F20" s="4"/>
      <c r="O20"/>
      <c r="P20"/>
      <c r="Q20"/>
      <c r="R20"/>
      <c r="S20"/>
      <c r="T20"/>
      <c r="U20"/>
      <c r="V20"/>
      <c r="W20"/>
      <c r="X20"/>
      <c r="Y20"/>
      <c r="Z20"/>
    </row>
    <row r="21" spans="2:26" ht="18">
      <c r="B21" s="56" t="s">
        <v>26</v>
      </c>
      <c r="C21" s="6" t="s">
        <v>27</v>
      </c>
      <c r="D21" s="21" t="s">
        <v>28</v>
      </c>
      <c r="E21" s="7" t="s">
        <v>13</v>
      </c>
      <c r="F21" s="4" t="s">
        <v>29</v>
      </c>
      <c r="O21"/>
      <c r="P21"/>
      <c r="Q21"/>
      <c r="R21"/>
      <c r="S21"/>
      <c r="T21"/>
      <c r="U21"/>
      <c r="V21"/>
      <c r="W21"/>
      <c r="X21"/>
      <c r="Y21"/>
      <c r="Z21"/>
    </row>
    <row r="22" spans="2:26" ht="18">
      <c r="B22" s="57"/>
      <c r="C22" s="9" t="s">
        <v>30</v>
      </c>
      <c r="D22" s="21">
        <v>30</v>
      </c>
      <c r="E22" s="8" t="s">
        <v>31</v>
      </c>
      <c r="F22" s="4" t="s">
        <v>32</v>
      </c>
      <c r="O22"/>
      <c r="P22"/>
      <c r="Q22"/>
      <c r="R22"/>
      <c r="S22"/>
      <c r="T22"/>
      <c r="U22"/>
      <c r="V22"/>
      <c r="W22"/>
      <c r="X22"/>
      <c r="Y22"/>
      <c r="Z22"/>
    </row>
    <row r="23" spans="2:26" ht="18">
      <c r="B23" s="57"/>
      <c r="C23" s="9" t="s">
        <v>33</v>
      </c>
      <c r="D23" s="22">
        <f>(3.08-1)/2+1</f>
        <v>2.04</v>
      </c>
      <c r="E23" s="8" t="s">
        <v>34</v>
      </c>
      <c r="F23" s="4" t="s">
        <v>32</v>
      </c>
      <c r="O23"/>
      <c r="P23"/>
      <c r="Q23"/>
      <c r="R23"/>
      <c r="S23"/>
      <c r="T23"/>
      <c r="U23"/>
      <c r="V23"/>
      <c r="W23"/>
      <c r="X23"/>
      <c r="Y23"/>
      <c r="Z23"/>
    </row>
    <row r="24" spans="2:26" ht="18">
      <c r="B24" s="57"/>
      <c r="C24" s="9" t="s">
        <v>35</v>
      </c>
      <c r="D24" s="22">
        <v>1</v>
      </c>
      <c r="E24" s="8" t="s">
        <v>34</v>
      </c>
      <c r="F24" s="4" t="s">
        <v>32</v>
      </c>
      <c r="O24"/>
      <c r="P24"/>
      <c r="Q24"/>
      <c r="R24"/>
      <c r="S24"/>
      <c r="T24"/>
      <c r="U24"/>
      <c r="V24"/>
      <c r="W24"/>
      <c r="X24"/>
      <c r="Y24"/>
      <c r="Z24"/>
    </row>
    <row r="25" spans="2:26" ht="18">
      <c r="B25" s="58"/>
      <c r="C25" s="9" t="s">
        <v>36</v>
      </c>
      <c r="D25" s="63">
        <v>3.49</v>
      </c>
      <c r="E25" s="8" t="s">
        <v>37</v>
      </c>
      <c r="F25" s="4" t="s">
        <v>32</v>
      </c>
      <c r="O25"/>
      <c r="P25"/>
      <c r="Q25"/>
      <c r="R25"/>
      <c r="S25"/>
      <c r="T25"/>
      <c r="U25"/>
      <c r="V25"/>
      <c r="W25"/>
      <c r="X25"/>
      <c r="Y25"/>
      <c r="Z25"/>
    </row>
    <row r="26" spans="2:26" ht="18">
      <c r="B26" s="56" t="s">
        <v>38</v>
      </c>
      <c r="C26" s="9" t="s">
        <v>39</v>
      </c>
      <c r="D26" s="23" t="s">
        <v>40</v>
      </c>
      <c r="E26" s="7" t="s">
        <v>13</v>
      </c>
      <c r="F26" s="4" t="s">
        <v>41</v>
      </c>
      <c r="O26"/>
      <c r="P26"/>
      <c r="Q26"/>
      <c r="R26"/>
      <c r="S26"/>
      <c r="T26"/>
      <c r="U26"/>
      <c r="V26"/>
      <c r="W26"/>
      <c r="X26"/>
      <c r="Y26"/>
      <c r="Z26"/>
    </row>
    <row r="27" spans="2:26" ht="18">
      <c r="B27" s="57"/>
      <c r="C27" s="9" t="s">
        <v>42</v>
      </c>
      <c r="D27" s="24">
        <v>32</v>
      </c>
      <c r="E27" s="8" t="s">
        <v>43</v>
      </c>
      <c r="F27" s="4" t="s">
        <v>44</v>
      </c>
      <c r="O27"/>
      <c r="P27"/>
      <c r="Q27"/>
      <c r="R27"/>
      <c r="S27"/>
      <c r="T27"/>
      <c r="U27"/>
      <c r="V27"/>
      <c r="W27"/>
      <c r="X27"/>
      <c r="Y27"/>
      <c r="Z27"/>
    </row>
    <row r="28" spans="2:26" ht="18">
      <c r="B28" s="57"/>
      <c r="C28" s="9" t="s">
        <v>45</v>
      </c>
      <c r="D28" s="24" t="s">
        <v>46</v>
      </c>
      <c r="E28" s="7" t="s">
        <v>13</v>
      </c>
      <c r="F28" s="4" t="s">
        <v>47</v>
      </c>
      <c r="O28"/>
      <c r="P28"/>
      <c r="Q28"/>
      <c r="R28"/>
      <c r="S28"/>
      <c r="T28"/>
      <c r="U28"/>
      <c r="V28"/>
      <c r="W28"/>
      <c r="X28"/>
      <c r="Y28"/>
      <c r="Z28"/>
    </row>
    <row r="29" spans="2:26" ht="18">
      <c r="B29" s="57"/>
      <c r="C29" s="9" t="s">
        <v>48</v>
      </c>
      <c r="D29" s="31"/>
      <c r="E29" s="7" t="s">
        <v>13</v>
      </c>
      <c r="F29" s="4" t="s">
        <v>44</v>
      </c>
      <c r="O29"/>
      <c r="P29"/>
      <c r="Q29"/>
      <c r="R29"/>
      <c r="S29"/>
      <c r="T29"/>
      <c r="U29"/>
      <c r="V29"/>
      <c r="W29"/>
      <c r="X29"/>
      <c r="Y29"/>
      <c r="Z29"/>
    </row>
    <row r="30" spans="2:26" ht="18">
      <c r="B30" s="57"/>
      <c r="C30" s="9" t="s">
        <v>50</v>
      </c>
      <c r="D30" s="24">
        <v>85</v>
      </c>
      <c r="E30" s="8" t="s">
        <v>51</v>
      </c>
      <c r="F30" s="4" t="s">
        <v>52</v>
      </c>
      <c r="O30"/>
      <c r="P30"/>
      <c r="Q30"/>
      <c r="R30"/>
      <c r="S30"/>
      <c r="T30"/>
      <c r="U30"/>
      <c r="V30"/>
      <c r="W30"/>
      <c r="X30"/>
      <c r="Y30"/>
      <c r="Z30"/>
    </row>
    <row r="31" spans="2:26" ht="18">
      <c r="B31" s="57"/>
      <c r="C31" s="9" t="s">
        <v>53</v>
      </c>
      <c r="D31" s="31"/>
      <c r="E31" s="7" t="s">
        <v>13</v>
      </c>
      <c r="F31" s="4" t="s">
        <v>44</v>
      </c>
      <c r="O31"/>
      <c r="P31"/>
      <c r="Q31"/>
      <c r="R31"/>
      <c r="S31"/>
      <c r="T31"/>
      <c r="U31"/>
      <c r="V31"/>
      <c r="W31"/>
      <c r="X31"/>
      <c r="Y31"/>
      <c r="Z31"/>
    </row>
    <row r="32" spans="2:26" ht="18">
      <c r="B32" s="57"/>
      <c r="C32" s="9" t="s">
        <v>54</v>
      </c>
      <c r="D32" s="31"/>
      <c r="E32" s="7" t="s">
        <v>13</v>
      </c>
      <c r="F32" s="4" t="s">
        <v>44</v>
      </c>
      <c r="O32"/>
      <c r="P32"/>
      <c r="Q32"/>
      <c r="R32"/>
      <c r="S32"/>
      <c r="T32"/>
      <c r="U32"/>
      <c r="V32"/>
      <c r="W32"/>
      <c r="X32"/>
      <c r="Y32"/>
      <c r="Z32"/>
    </row>
    <row r="33" spans="2:26" ht="18">
      <c r="B33" s="57"/>
      <c r="C33" s="9" t="s">
        <v>55</v>
      </c>
      <c r="D33" s="31"/>
      <c r="E33" s="8" t="s">
        <v>56</v>
      </c>
      <c r="F33" s="4" t="s">
        <v>44</v>
      </c>
      <c r="O33"/>
      <c r="P33"/>
      <c r="Q33"/>
      <c r="R33"/>
      <c r="S33"/>
      <c r="T33"/>
      <c r="U33"/>
      <c r="V33"/>
      <c r="W33"/>
      <c r="X33"/>
      <c r="Y33"/>
      <c r="Z33"/>
    </row>
    <row r="34" spans="2:26" ht="18">
      <c r="B34" s="58"/>
      <c r="C34" s="9" t="s">
        <v>57</v>
      </c>
      <c r="D34" s="23">
        <v>5400</v>
      </c>
      <c r="E34" s="8" t="s">
        <v>56</v>
      </c>
      <c r="F34" s="4" t="s">
        <v>44</v>
      </c>
      <c r="O34"/>
      <c r="P34"/>
      <c r="Q34"/>
      <c r="R34"/>
      <c r="S34"/>
      <c r="T34"/>
      <c r="U34"/>
      <c r="V34"/>
      <c r="W34"/>
      <c r="X34"/>
      <c r="Y34"/>
      <c r="Z34"/>
    </row>
    <row r="35" spans="2:26" ht="18">
      <c r="B35" s="52" t="s">
        <v>58</v>
      </c>
      <c r="C35" s="9" t="s">
        <v>59</v>
      </c>
      <c r="D35" s="25">
        <f>1/17.6</f>
        <v>5.6818181818181816E-2</v>
      </c>
      <c r="E35" s="7" t="s">
        <v>13</v>
      </c>
      <c r="F35" s="4" t="s">
        <v>44</v>
      </c>
      <c r="O35"/>
      <c r="P35"/>
      <c r="Q35"/>
      <c r="R35"/>
      <c r="S35"/>
      <c r="T35"/>
      <c r="U35"/>
      <c r="V35"/>
      <c r="W35"/>
      <c r="X35"/>
      <c r="Y35"/>
      <c r="Z35"/>
    </row>
    <row r="36" spans="2:26" ht="18">
      <c r="B36" s="53"/>
      <c r="C36" s="9" t="s">
        <v>60</v>
      </c>
      <c r="D36" s="25">
        <f>1/1.1</f>
        <v>0.90909090909090906</v>
      </c>
      <c r="E36" s="7" t="s">
        <v>13</v>
      </c>
      <c r="F36" s="4" t="s">
        <v>44</v>
      </c>
      <c r="O36"/>
      <c r="P36"/>
      <c r="Q36"/>
      <c r="R36"/>
      <c r="S36"/>
      <c r="T36"/>
      <c r="U36"/>
      <c r="V36"/>
      <c r="W36"/>
      <c r="X36"/>
      <c r="Y36"/>
      <c r="Z36"/>
    </row>
    <row r="37" spans="2:26" ht="18">
      <c r="B37" s="59" t="s">
        <v>61</v>
      </c>
      <c r="C37" s="10" t="s">
        <v>62</v>
      </c>
      <c r="D37" s="26"/>
      <c r="E37" s="11" t="s">
        <v>63</v>
      </c>
      <c r="F37" s="4" t="s">
        <v>64</v>
      </c>
      <c r="O37"/>
      <c r="P37"/>
      <c r="Q37"/>
      <c r="R37"/>
      <c r="S37"/>
      <c r="T37"/>
      <c r="U37"/>
      <c r="V37"/>
      <c r="W37"/>
      <c r="X37"/>
      <c r="Y37"/>
      <c r="Z37"/>
    </row>
    <row r="38" spans="2:26" ht="18">
      <c r="B38" s="60"/>
      <c r="C38" s="10" t="s">
        <v>65</v>
      </c>
      <c r="D38" s="26"/>
      <c r="E38" s="11" t="s">
        <v>63</v>
      </c>
      <c r="F38" s="4" t="s">
        <v>66</v>
      </c>
      <c r="O38"/>
      <c r="P38"/>
      <c r="Q38"/>
      <c r="R38"/>
      <c r="S38"/>
      <c r="T38"/>
      <c r="U38"/>
      <c r="V38"/>
      <c r="W38"/>
      <c r="X38"/>
      <c r="Y38"/>
      <c r="Z38"/>
    </row>
    <row r="39" spans="2:26" ht="18">
      <c r="B39" s="60"/>
      <c r="C39" s="10" t="s">
        <v>67</v>
      </c>
      <c r="D39" s="26"/>
      <c r="E39" s="11" t="s">
        <v>63</v>
      </c>
      <c r="F39" s="4" t="s">
        <v>68</v>
      </c>
      <c r="O39"/>
      <c r="P39"/>
      <c r="Q39"/>
      <c r="R39"/>
      <c r="S39"/>
      <c r="T39"/>
      <c r="U39"/>
      <c r="V39"/>
      <c r="W39"/>
      <c r="X39"/>
      <c r="Y39"/>
      <c r="Z39"/>
    </row>
    <row r="40" spans="2:26" ht="18">
      <c r="B40" s="61"/>
      <c r="C40" s="10" t="s">
        <v>69</v>
      </c>
      <c r="D40" s="26"/>
      <c r="E40" s="11" t="s">
        <v>63</v>
      </c>
      <c r="F40" s="4" t="s">
        <v>70</v>
      </c>
      <c r="O40"/>
      <c r="P40"/>
      <c r="Q40"/>
      <c r="R40"/>
      <c r="S40"/>
      <c r="T40"/>
      <c r="U40"/>
      <c r="V40"/>
      <c r="W40"/>
      <c r="X40"/>
      <c r="Y40"/>
      <c r="Z40"/>
    </row>
    <row r="41" spans="2:26" ht="18">
      <c r="C41" s="12" t="s">
        <v>71</v>
      </c>
      <c r="D41"/>
      <c r="E41"/>
      <c r="F41"/>
      <c r="O41"/>
      <c r="P41"/>
      <c r="Q41"/>
      <c r="R41"/>
      <c r="S41"/>
      <c r="T41"/>
      <c r="U41"/>
      <c r="V41"/>
      <c r="W41"/>
      <c r="X41"/>
      <c r="Y41"/>
      <c r="Z41"/>
    </row>
    <row r="42" spans="2:26" ht="18">
      <c r="O42"/>
      <c r="P42"/>
      <c r="Q42"/>
      <c r="R42"/>
      <c r="S42"/>
      <c r="T42"/>
      <c r="U42"/>
      <c r="V42"/>
      <c r="W42"/>
      <c r="X42"/>
      <c r="Y42"/>
      <c r="Z42"/>
    </row>
    <row r="43" spans="2:26" ht="18">
      <c r="C43"/>
      <c r="D43"/>
      <c r="E43"/>
      <c r="F43"/>
      <c r="G43" s="13"/>
      <c r="H43"/>
      <c r="I43"/>
    </row>
    <row r="44" spans="2:26" ht="18">
      <c r="C44"/>
      <c r="D44"/>
      <c r="E44"/>
      <c r="F44"/>
      <c r="G44" s="13"/>
      <c r="H44"/>
      <c r="I44"/>
    </row>
    <row r="45" spans="2:26" ht="18">
      <c r="C45"/>
      <c r="D45"/>
      <c r="E45"/>
      <c r="F45"/>
      <c r="G45" s="13"/>
      <c r="H45"/>
      <c r="I45"/>
    </row>
    <row r="46" spans="2:26" ht="18">
      <c r="C46"/>
      <c r="D46"/>
      <c r="E46"/>
      <c r="F46"/>
      <c r="G46" s="13"/>
      <c r="H46"/>
      <c r="I46"/>
    </row>
    <row r="47" spans="2:26" ht="18">
      <c r="C47"/>
      <c r="D47"/>
      <c r="E47"/>
      <c r="F47"/>
      <c r="G47" s="13"/>
      <c r="H47"/>
      <c r="I47"/>
    </row>
    <row r="48" spans="2:26" ht="18">
      <c r="C48"/>
      <c r="D48"/>
      <c r="E48"/>
      <c r="F48"/>
      <c r="G48" s="13"/>
      <c r="H48"/>
      <c r="I48"/>
    </row>
    <row r="49" spans="3:6" ht="18">
      <c r="C49"/>
      <c r="D49"/>
      <c r="E49"/>
      <c r="F49"/>
    </row>
    <row r="50" spans="3:6" ht="18">
      <c r="C50"/>
      <c r="D50"/>
      <c r="E50"/>
      <c r="F50"/>
    </row>
    <row r="51" spans="3:6" ht="18">
      <c r="C51"/>
      <c r="D51"/>
      <c r="E51"/>
      <c r="F51"/>
    </row>
    <row r="52" spans="3:6" ht="18">
      <c r="C52"/>
      <c r="D52"/>
      <c r="E52"/>
      <c r="F52"/>
    </row>
    <row r="53" spans="3:6" ht="18">
      <c r="C53"/>
      <c r="D53"/>
      <c r="E53"/>
      <c r="F53"/>
    </row>
    <row r="54" spans="3:6" ht="18">
      <c r="C54"/>
      <c r="D54"/>
      <c r="E54"/>
      <c r="F54"/>
    </row>
    <row r="55" spans="3:6" ht="18">
      <c r="C55"/>
      <c r="D55"/>
      <c r="E55"/>
      <c r="F55"/>
    </row>
    <row r="56" spans="3:6" ht="18">
      <c r="C56"/>
      <c r="D56"/>
      <c r="E56"/>
      <c r="F56"/>
    </row>
    <row r="57" spans="3:6" ht="18">
      <c r="C57"/>
      <c r="D57"/>
      <c r="E57"/>
      <c r="F57"/>
    </row>
    <row r="58" spans="3:6" ht="18">
      <c r="C58"/>
      <c r="D58"/>
      <c r="E58"/>
      <c r="F58"/>
    </row>
    <row r="59" spans="3:6" ht="18">
      <c r="C59"/>
      <c r="D59"/>
      <c r="E59"/>
      <c r="F59"/>
    </row>
    <row r="60" spans="3:6" ht="18">
      <c r="C60"/>
      <c r="D60"/>
      <c r="E60"/>
      <c r="F60"/>
    </row>
    <row r="61" spans="3:6" ht="18">
      <c r="C61"/>
      <c r="D61"/>
      <c r="E61"/>
      <c r="F61"/>
    </row>
    <row r="62" spans="3:6" ht="18">
      <c r="C62"/>
      <c r="D62"/>
      <c r="E62"/>
      <c r="F62"/>
    </row>
    <row r="63" spans="3:6" ht="18">
      <c r="C63"/>
      <c r="D63"/>
      <c r="E63"/>
      <c r="F63"/>
    </row>
    <row r="64" spans="3:6" ht="18">
      <c r="C64"/>
      <c r="D64"/>
      <c r="E64"/>
      <c r="F64"/>
    </row>
    <row r="65" spans="2:6" ht="18">
      <c r="C65"/>
      <c r="D65"/>
      <c r="E65"/>
      <c r="F65"/>
    </row>
    <row r="66" spans="2:6" ht="18">
      <c r="C66"/>
      <c r="D66"/>
      <c r="E66"/>
      <c r="F66"/>
    </row>
    <row r="67" spans="2:6" ht="18">
      <c r="C67"/>
      <c r="D67"/>
      <c r="E67"/>
      <c r="F67"/>
    </row>
    <row r="68" spans="2:6" ht="18">
      <c r="C68"/>
      <c r="D68"/>
      <c r="E68"/>
      <c r="F68"/>
    </row>
    <row r="69" spans="2:6" ht="18">
      <c r="B69"/>
      <c r="C69"/>
      <c r="D69"/>
      <c r="E69"/>
      <c r="F69"/>
    </row>
    <row r="70" spans="2:6" ht="13.5" customHeight="1">
      <c r="B70"/>
      <c r="C70"/>
      <c r="D70"/>
      <c r="E70"/>
      <c r="F70"/>
    </row>
    <row r="71" spans="2:6" ht="18">
      <c r="B71"/>
      <c r="C71"/>
      <c r="D71"/>
      <c r="E71"/>
      <c r="F71"/>
    </row>
    <row r="72" spans="2:6" ht="18">
      <c r="B72"/>
      <c r="C72"/>
      <c r="D72"/>
      <c r="E72"/>
      <c r="F72"/>
    </row>
    <row r="73" spans="2:6" ht="18">
      <c r="B73"/>
      <c r="C73"/>
      <c r="D73"/>
      <c r="E73"/>
      <c r="F73"/>
    </row>
    <row r="74" spans="2:6" ht="18">
      <c r="B74"/>
      <c r="C74"/>
      <c r="D74"/>
      <c r="E74"/>
      <c r="F74"/>
    </row>
    <row r="75" spans="2:6" ht="18">
      <c r="B75"/>
      <c r="C75"/>
      <c r="D75"/>
      <c r="E75"/>
      <c r="F75"/>
    </row>
    <row r="76" spans="2:6" ht="18">
      <c r="B76"/>
      <c r="C76"/>
      <c r="D76"/>
      <c r="E76"/>
      <c r="F76"/>
    </row>
    <row r="77" spans="2:6" ht="18">
      <c r="B77"/>
      <c r="C77"/>
      <c r="D77"/>
      <c r="E77"/>
      <c r="F77"/>
    </row>
    <row r="78" spans="2:6" ht="18">
      <c r="B78"/>
      <c r="C78"/>
      <c r="D78"/>
      <c r="E78"/>
      <c r="F78"/>
    </row>
  </sheetData>
  <mergeCells count="7">
    <mergeCell ref="B37:B40"/>
    <mergeCell ref="B2:F2"/>
    <mergeCell ref="B14:E14"/>
    <mergeCell ref="B15:B20"/>
    <mergeCell ref="B21:B25"/>
    <mergeCell ref="B26:B34"/>
    <mergeCell ref="B35:B36"/>
  </mergeCells>
  <phoneticPr fontId="3"/>
  <dataValidations count="3">
    <dataValidation type="list" allowBlank="1" showInputMessage="1" showErrorMessage="1" sqref="D26" xr:uid="{F9C52942-9CE2-4513-A548-633786CF96E1}">
      <formula1>"JIS-C8955(2004年版),JIS-C8955(2017年版),NEDOガイドライン(2019年版)"</formula1>
    </dataValidation>
    <dataValidation type="list" allowBlank="1" showInputMessage="1" showErrorMessage="1" sqref="D21" xr:uid="{7E26A9AE-A07A-4116-A9FB-933E7E62E0A4}">
      <formula1>"極めて重要,通常"</formula1>
    </dataValidation>
    <dataValidation type="list" allowBlank="1" showInputMessage="1" showErrorMessage="1" sqref="D28" xr:uid="{3D79F3D7-03B8-4594-909C-C2F43FDF5917}">
      <formula1>"Ⅰ,Ⅱ,Ⅲ,Ⅳ"</formula1>
    </dataValidation>
  </dataValidations>
  <pageMargins left="0.25" right="0.25" top="0.75" bottom="0.75" header="0.3" footer="0.3"/>
  <pageSetup paperSize="9" scale="63" orientation="portrait" r:id="rId1"/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2A05-010D-40B6-A595-848CC9CFB253}">
  <sheetPr>
    <tabColor rgb="FF00B050"/>
    <pageSetUpPr fitToPage="1"/>
  </sheetPr>
  <dimension ref="B1:Z105"/>
  <sheetViews>
    <sheetView showOutlineSymbols="0" view="pageBreakPreview" topLeftCell="A20" zoomScale="80" zoomScaleNormal="100" zoomScaleSheetLayoutView="80" workbookViewId="0">
      <selection activeCell="D32" sqref="D32"/>
    </sheetView>
  </sheetViews>
  <sheetFormatPr defaultColWidth="9" defaultRowHeight="16.149999999999999"/>
  <cols>
    <col min="1" max="1" width="7.125" style="1" customWidth="1"/>
    <col min="2" max="2" width="10.75" style="1" customWidth="1"/>
    <col min="3" max="3" width="24.25" style="1" customWidth="1"/>
    <col min="4" max="4" width="25.875" style="1" bestFit="1" customWidth="1"/>
    <col min="5" max="5" width="6.375" style="1" customWidth="1"/>
    <col min="6" max="6" width="61.75" style="1" customWidth="1"/>
    <col min="7" max="7" width="8.25" style="1" customWidth="1"/>
    <col min="8" max="15" width="10.75" style="1" customWidth="1"/>
    <col min="16" max="17" width="9" style="1"/>
    <col min="18" max="18" width="10.75" style="1" bestFit="1" customWidth="1"/>
    <col min="19" max="20" width="10.5" style="1" customWidth="1"/>
    <col min="21" max="16384" width="9" style="1"/>
  </cols>
  <sheetData>
    <row r="1" spans="2:26">
      <c r="G1" s="2" t="s">
        <v>0</v>
      </c>
    </row>
    <row r="2" spans="2:26" ht="19.899999999999999">
      <c r="B2" s="54" t="s">
        <v>1</v>
      </c>
      <c r="C2" s="54"/>
      <c r="D2" s="54"/>
      <c r="E2" s="54"/>
      <c r="F2" s="54"/>
    </row>
    <row r="4" spans="2:26">
      <c r="B4" s="1" t="s">
        <v>2</v>
      </c>
    </row>
    <row r="5" spans="2:26">
      <c r="F5" s="3" t="s">
        <v>3</v>
      </c>
    </row>
    <row r="7" spans="2:26">
      <c r="B7" s="1" t="s">
        <v>4</v>
      </c>
    </row>
    <row r="9" spans="2:26">
      <c r="B9" s="4" t="s">
        <v>5</v>
      </c>
      <c r="C9" s="19">
        <v>46017</v>
      </c>
      <c r="D9" s="4"/>
    </row>
    <row r="10" spans="2:26">
      <c r="B10" s="4" t="s">
        <v>6</v>
      </c>
      <c r="C10" s="19">
        <v>46053</v>
      </c>
      <c r="D10" s="4"/>
    </row>
    <row r="13" spans="2:26" ht="18">
      <c r="B13" s="1" t="s">
        <v>7</v>
      </c>
      <c r="O13"/>
      <c r="P13"/>
      <c r="Q13"/>
      <c r="R13"/>
      <c r="S13"/>
      <c r="T13"/>
      <c r="U13"/>
      <c r="V13"/>
      <c r="W13"/>
      <c r="X13"/>
      <c r="Y13"/>
      <c r="Z13"/>
    </row>
    <row r="14" spans="2:26" ht="18">
      <c r="B14" s="55" t="s">
        <v>8</v>
      </c>
      <c r="C14" s="55"/>
      <c r="D14" s="55"/>
      <c r="E14" s="55"/>
      <c r="F14" s="5" t="s">
        <v>9</v>
      </c>
      <c r="O14"/>
      <c r="P14"/>
      <c r="Q14"/>
      <c r="R14"/>
      <c r="S14"/>
      <c r="T14"/>
      <c r="U14"/>
      <c r="V14"/>
      <c r="W14"/>
      <c r="X14"/>
      <c r="Y14"/>
      <c r="Z14"/>
    </row>
    <row r="15" spans="2:26" ht="18">
      <c r="B15" s="56" t="s">
        <v>10</v>
      </c>
      <c r="C15" s="6" t="s">
        <v>11</v>
      </c>
      <c r="D15" s="14" t="s">
        <v>75</v>
      </c>
      <c r="E15" s="7" t="s">
        <v>13</v>
      </c>
      <c r="F15" s="4"/>
      <c r="O15"/>
      <c r="P15"/>
      <c r="Q15"/>
      <c r="R15"/>
      <c r="S15"/>
      <c r="T15"/>
      <c r="U15"/>
      <c r="V15"/>
      <c r="W15"/>
      <c r="X15"/>
      <c r="Y15"/>
      <c r="Z15"/>
    </row>
    <row r="16" spans="2:26" ht="18">
      <c r="B16" s="57"/>
      <c r="C16" s="6" t="s">
        <v>14</v>
      </c>
      <c r="D16" s="15" t="s">
        <v>76</v>
      </c>
      <c r="E16" s="7" t="s">
        <v>13</v>
      </c>
      <c r="F16" s="4"/>
      <c r="O16"/>
      <c r="P16"/>
      <c r="Q16"/>
      <c r="R16"/>
      <c r="S16"/>
      <c r="T16"/>
      <c r="U16"/>
      <c r="V16"/>
      <c r="W16"/>
      <c r="X16"/>
      <c r="Y16"/>
      <c r="Z16"/>
    </row>
    <row r="17" spans="2:26" ht="18">
      <c r="B17" s="57"/>
      <c r="C17" s="6" t="s">
        <v>16</v>
      </c>
      <c r="D17" s="15">
        <v>36.567830000000001</v>
      </c>
      <c r="E17" s="8" t="s">
        <v>17</v>
      </c>
      <c r="F17" s="4" t="s">
        <v>18</v>
      </c>
      <c r="O17"/>
      <c r="P17"/>
      <c r="Q17"/>
      <c r="R17"/>
      <c r="S17"/>
      <c r="T17"/>
      <c r="U17"/>
      <c r="V17"/>
      <c r="W17"/>
      <c r="X17"/>
      <c r="Y17"/>
      <c r="Z17"/>
    </row>
    <row r="18" spans="2:26" ht="18">
      <c r="B18" s="57"/>
      <c r="C18" s="6" t="s">
        <v>19</v>
      </c>
      <c r="D18" s="15">
        <v>137.23625999999999</v>
      </c>
      <c r="E18" s="8" t="s">
        <v>17</v>
      </c>
      <c r="F18" s="4" t="s">
        <v>20</v>
      </c>
      <c r="O18"/>
      <c r="P18"/>
      <c r="Q18"/>
      <c r="R18"/>
      <c r="S18"/>
      <c r="T18"/>
      <c r="U18"/>
      <c r="V18"/>
      <c r="W18"/>
      <c r="X18"/>
      <c r="Y18"/>
      <c r="Z18"/>
    </row>
    <row r="19" spans="2:26" ht="18">
      <c r="B19" s="57"/>
      <c r="C19" s="6" t="s">
        <v>21</v>
      </c>
      <c r="D19" s="27">
        <v>42062</v>
      </c>
      <c r="E19" s="7" t="s">
        <v>22</v>
      </c>
      <c r="F19" s="4" t="s">
        <v>23</v>
      </c>
      <c r="O19"/>
      <c r="P19"/>
      <c r="Q19"/>
      <c r="R19"/>
      <c r="S19"/>
      <c r="T19"/>
      <c r="U19"/>
      <c r="V19"/>
      <c r="W19"/>
      <c r="X19"/>
      <c r="Y19"/>
      <c r="Z19"/>
    </row>
    <row r="20" spans="2:26" ht="18">
      <c r="B20" s="58"/>
      <c r="C20" s="6" t="s">
        <v>24</v>
      </c>
      <c r="D20" s="20">
        <v>2491500</v>
      </c>
      <c r="E20" s="18" t="s">
        <v>25</v>
      </c>
      <c r="F20" s="4"/>
      <c r="O20"/>
      <c r="P20"/>
      <c r="Q20"/>
      <c r="R20"/>
      <c r="S20"/>
      <c r="T20"/>
      <c r="U20"/>
      <c r="V20"/>
      <c r="W20"/>
      <c r="X20"/>
      <c r="Y20"/>
      <c r="Z20"/>
    </row>
    <row r="21" spans="2:26" ht="18">
      <c r="B21" s="56" t="s">
        <v>26</v>
      </c>
      <c r="C21" s="6" t="s">
        <v>27</v>
      </c>
      <c r="D21" s="21" t="s">
        <v>28</v>
      </c>
      <c r="E21" s="7" t="s">
        <v>13</v>
      </c>
      <c r="F21" s="4" t="s">
        <v>29</v>
      </c>
      <c r="O21"/>
      <c r="P21"/>
      <c r="Q21"/>
      <c r="R21"/>
      <c r="S21"/>
      <c r="T21"/>
      <c r="U21"/>
      <c r="V21"/>
      <c r="W21"/>
      <c r="X21"/>
      <c r="Y21"/>
      <c r="Z21"/>
    </row>
    <row r="22" spans="2:26" ht="18">
      <c r="B22" s="57"/>
      <c r="C22" s="9" t="s">
        <v>30</v>
      </c>
      <c r="D22" s="21">
        <v>30</v>
      </c>
      <c r="E22" s="8" t="s">
        <v>31</v>
      </c>
      <c r="F22" s="4" t="s">
        <v>32</v>
      </c>
      <c r="O22"/>
      <c r="P22"/>
      <c r="Q22"/>
      <c r="R22"/>
      <c r="S22"/>
      <c r="T22"/>
      <c r="U22"/>
      <c r="V22"/>
      <c r="W22"/>
      <c r="X22"/>
      <c r="Y22"/>
      <c r="Z22"/>
    </row>
    <row r="23" spans="2:26" ht="18">
      <c r="B23" s="57"/>
      <c r="C23" s="9" t="s">
        <v>33</v>
      </c>
      <c r="D23" s="22">
        <f>(2.28-1.31)/2+1.31+0.5</f>
        <v>2.2949999999999999</v>
      </c>
      <c r="E23" s="8" t="s">
        <v>34</v>
      </c>
      <c r="F23" s="4" t="s">
        <v>32</v>
      </c>
      <c r="O23"/>
      <c r="P23"/>
      <c r="Q23"/>
      <c r="R23"/>
      <c r="S23"/>
      <c r="T23"/>
      <c r="U23"/>
      <c r="V23"/>
      <c r="W23"/>
      <c r="X23"/>
      <c r="Y23"/>
      <c r="Z23"/>
    </row>
    <row r="24" spans="2:26" ht="18">
      <c r="B24" s="57"/>
      <c r="C24" s="9" t="s">
        <v>35</v>
      </c>
      <c r="D24" s="22">
        <f>(500+1310)/1000</f>
        <v>1.81</v>
      </c>
      <c r="E24" s="8" t="s">
        <v>34</v>
      </c>
      <c r="F24" s="4" t="s">
        <v>32</v>
      </c>
      <c r="O24"/>
      <c r="P24"/>
      <c r="Q24"/>
      <c r="R24"/>
      <c r="S24"/>
      <c r="T24"/>
      <c r="U24"/>
      <c r="V24"/>
      <c r="W24"/>
      <c r="X24"/>
      <c r="Y24"/>
      <c r="Z24"/>
    </row>
    <row r="25" spans="2:26" ht="18">
      <c r="B25" s="58"/>
      <c r="C25" s="9" t="s">
        <v>36</v>
      </c>
      <c r="D25" s="63">
        <f>2.993*COS(RADIANS(30))</f>
        <v>2.5920140335268251</v>
      </c>
      <c r="E25" s="8" t="s">
        <v>37</v>
      </c>
      <c r="F25" s="4" t="s">
        <v>32</v>
      </c>
      <c r="O25"/>
      <c r="P25"/>
      <c r="Q25"/>
      <c r="R25"/>
      <c r="S25"/>
      <c r="T25"/>
      <c r="U25"/>
      <c r="V25"/>
      <c r="W25"/>
      <c r="X25"/>
      <c r="Y25"/>
      <c r="Z25"/>
    </row>
    <row r="26" spans="2:26" ht="18">
      <c r="B26" s="56" t="s">
        <v>38</v>
      </c>
      <c r="C26" s="9" t="s">
        <v>39</v>
      </c>
      <c r="D26" s="23" t="s">
        <v>40</v>
      </c>
      <c r="E26" s="7" t="s">
        <v>13</v>
      </c>
      <c r="F26" s="4" t="s">
        <v>41</v>
      </c>
      <c r="O26"/>
      <c r="P26"/>
      <c r="Q26"/>
      <c r="R26"/>
      <c r="S26"/>
      <c r="T26"/>
      <c r="U26"/>
      <c r="V26"/>
      <c r="W26"/>
      <c r="X26"/>
      <c r="Y26"/>
      <c r="Z26"/>
    </row>
    <row r="27" spans="2:26" ht="18">
      <c r="B27" s="57"/>
      <c r="C27" s="9" t="s">
        <v>42</v>
      </c>
      <c r="D27" s="24">
        <v>30</v>
      </c>
      <c r="E27" s="8" t="s">
        <v>43</v>
      </c>
      <c r="F27" s="4" t="s">
        <v>44</v>
      </c>
      <c r="O27"/>
      <c r="P27"/>
      <c r="Q27"/>
      <c r="R27"/>
      <c r="S27"/>
      <c r="T27"/>
      <c r="U27"/>
      <c r="V27"/>
      <c r="W27"/>
      <c r="X27"/>
      <c r="Y27"/>
      <c r="Z27"/>
    </row>
    <row r="28" spans="2:26" ht="18">
      <c r="B28" s="57"/>
      <c r="C28" s="9" t="s">
        <v>45</v>
      </c>
      <c r="D28" s="24" t="s">
        <v>46</v>
      </c>
      <c r="E28" s="7" t="s">
        <v>13</v>
      </c>
      <c r="F28" s="4" t="s">
        <v>47</v>
      </c>
      <c r="O28"/>
      <c r="P28"/>
      <c r="Q28"/>
      <c r="R28"/>
      <c r="S28"/>
      <c r="T28"/>
      <c r="U28"/>
      <c r="V28"/>
      <c r="W28"/>
      <c r="X28"/>
      <c r="Y28"/>
      <c r="Z28"/>
    </row>
    <row r="29" spans="2:26" ht="18">
      <c r="B29" s="57"/>
      <c r="C29" s="9" t="s">
        <v>48</v>
      </c>
      <c r="D29" s="24" t="s">
        <v>49</v>
      </c>
      <c r="E29" s="7" t="s">
        <v>13</v>
      </c>
      <c r="F29" s="4" t="s">
        <v>44</v>
      </c>
      <c r="O29"/>
      <c r="P29"/>
      <c r="Q29"/>
      <c r="R29"/>
      <c r="S29"/>
      <c r="T29"/>
      <c r="U29"/>
      <c r="V29"/>
      <c r="W29"/>
      <c r="X29"/>
      <c r="Y29"/>
      <c r="Z29"/>
    </row>
    <row r="30" spans="2:26" ht="18">
      <c r="B30" s="57"/>
      <c r="C30" s="9" t="s">
        <v>50</v>
      </c>
      <c r="D30" s="24">
        <v>145</v>
      </c>
      <c r="E30" s="8" t="s">
        <v>51</v>
      </c>
      <c r="F30" s="4" t="s">
        <v>52</v>
      </c>
      <c r="O30"/>
      <c r="P30"/>
      <c r="Q30"/>
      <c r="R30"/>
      <c r="S30"/>
      <c r="T30"/>
      <c r="U30"/>
      <c r="V30"/>
      <c r="W30"/>
      <c r="X30"/>
      <c r="Y30"/>
      <c r="Z30"/>
    </row>
    <row r="31" spans="2:26" ht="18">
      <c r="B31" s="57"/>
      <c r="C31" s="9" t="s">
        <v>53</v>
      </c>
      <c r="D31" s="23" t="s">
        <v>49</v>
      </c>
      <c r="E31" s="7" t="s">
        <v>13</v>
      </c>
      <c r="F31" s="4" t="s">
        <v>44</v>
      </c>
      <c r="O31"/>
      <c r="P31"/>
      <c r="Q31"/>
      <c r="R31"/>
      <c r="S31"/>
      <c r="T31"/>
      <c r="U31"/>
      <c r="V31"/>
      <c r="W31"/>
      <c r="X31"/>
      <c r="Y31"/>
      <c r="Z31"/>
    </row>
    <row r="32" spans="2:26" ht="18">
      <c r="B32" s="57"/>
      <c r="C32" s="9" t="s">
        <v>54</v>
      </c>
      <c r="D32" s="64">
        <v>0.84</v>
      </c>
      <c r="E32" s="7" t="s">
        <v>13</v>
      </c>
      <c r="F32" s="4" t="s">
        <v>44</v>
      </c>
      <c r="O32"/>
      <c r="P32"/>
      <c r="Q32"/>
      <c r="R32"/>
      <c r="S32"/>
      <c r="T32"/>
      <c r="U32"/>
      <c r="V32"/>
      <c r="W32"/>
      <c r="X32"/>
      <c r="Y32"/>
      <c r="Z32"/>
    </row>
    <row r="33" spans="2:26" ht="18">
      <c r="B33" s="57"/>
      <c r="C33" s="9" t="s">
        <v>55</v>
      </c>
      <c r="D33" s="23" t="s">
        <v>49</v>
      </c>
      <c r="E33" s="8" t="s">
        <v>56</v>
      </c>
      <c r="F33" s="4" t="s">
        <v>44</v>
      </c>
      <c r="O33"/>
      <c r="P33"/>
      <c r="Q33"/>
      <c r="R33"/>
      <c r="S33"/>
      <c r="T33"/>
      <c r="U33"/>
      <c r="V33"/>
      <c r="W33"/>
      <c r="X33"/>
      <c r="Y33"/>
      <c r="Z33"/>
    </row>
    <row r="34" spans="2:26" ht="18">
      <c r="B34" s="58"/>
      <c r="C34" s="9" t="s">
        <v>57</v>
      </c>
      <c r="D34" s="31"/>
      <c r="E34" s="8" t="s">
        <v>56</v>
      </c>
      <c r="F34" s="4" t="s">
        <v>44</v>
      </c>
      <c r="O34"/>
      <c r="P34"/>
      <c r="Q34"/>
      <c r="R34"/>
      <c r="S34"/>
      <c r="T34"/>
      <c r="U34"/>
      <c r="V34"/>
      <c r="W34"/>
      <c r="X34"/>
      <c r="Y34"/>
      <c r="Z34"/>
    </row>
    <row r="35" spans="2:26" ht="18">
      <c r="B35" s="52" t="s">
        <v>58</v>
      </c>
      <c r="C35" s="9" t="s">
        <v>59</v>
      </c>
      <c r="D35" s="25">
        <v>0.8</v>
      </c>
      <c r="E35" s="7" t="s">
        <v>13</v>
      </c>
      <c r="F35" s="4" t="s">
        <v>44</v>
      </c>
      <c r="O35"/>
      <c r="P35"/>
      <c r="Q35"/>
      <c r="R35"/>
      <c r="S35"/>
      <c r="T35"/>
      <c r="U35"/>
      <c r="V35"/>
      <c r="W35"/>
      <c r="X35"/>
      <c r="Y35"/>
      <c r="Z35"/>
    </row>
    <row r="36" spans="2:26" ht="18">
      <c r="B36" s="53"/>
      <c r="C36" s="9" t="s">
        <v>60</v>
      </c>
      <c r="D36" s="25">
        <v>0.65</v>
      </c>
      <c r="E36" s="7" t="s">
        <v>13</v>
      </c>
      <c r="F36" s="4" t="s">
        <v>44</v>
      </c>
      <c r="O36"/>
      <c r="P36"/>
      <c r="Q36"/>
      <c r="R36"/>
      <c r="S36"/>
      <c r="T36"/>
      <c r="U36"/>
      <c r="V36"/>
      <c r="W36"/>
      <c r="X36"/>
      <c r="Y36"/>
      <c r="Z36"/>
    </row>
    <row r="37" spans="2:26" ht="18">
      <c r="B37" s="59" t="s">
        <v>61</v>
      </c>
      <c r="C37" s="10" t="s">
        <v>62</v>
      </c>
      <c r="D37" s="26"/>
      <c r="E37" s="11" t="s">
        <v>63</v>
      </c>
      <c r="F37" s="4" t="s">
        <v>64</v>
      </c>
      <c r="O37"/>
      <c r="P37"/>
      <c r="Q37"/>
      <c r="R37"/>
      <c r="S37"/>
      <c r="T37"/>
      <c r="U37"/>
      <c r="V37"/>
      <c r="W37"/>
      <c r="X37"/>
      <c r="Y37"/>
      <c r="Z37"/>
    </row>
    <row r="38" spans="2:26" ht="18">
      <c r="B38" s="60"/>
      <c r="C38" s="10" t="s">
        <v>65</v>
      </c>
      <c r="D38" s="26"/>
      <c r="E38" s="11" t="s">
        <v>63</v>
      </c>
      <c r="F38" s="4" t="s">
        <v>66</v>
      </c>
      <c r="O38"/>
      <c r="P38"/>
      <c r="Q38"/>
      <c r="R38"/>
      <c r="S38"/>
      <c r="T38"/>
      <c r="U38"/>
      <c r="V38"/>
      <c r="W38"/>
      <c r="X38"/>
      <c r="Y38"/>
      <c r="Z38"/>
    </row>
    <row r="39" spans="2:26" ht="18">
      <c r="B39" s="60"/>
      <c r="C39" s="10" t="s">
        <v>67</v>
      </c>
      <c r="D39" s="26"/>
      <c r="E39" s="11" t="s">
        <v>63</v>
      </c>
      <c r="F39" s="4" t="s">
        <v>68</v>
      </c>
      <c r="O39"/>
      <c r="P39"/>
      <c r="Q39"/>
      <c r="R39"/>
      <c r="S39"/>
      <c r="T39"/>
      <c r="U39"/>
      <c r="V39"/>
      <c r="W39"/>
      <c r="X39"/>
      <c r="Y39"/>
      <c r="Z39"/>
    </row>
    <row r="40" spans="2:26" ht="18">
      <c r="B40" s="61"/>
      <c r="C40" s="10" t="s">
        <v>69</v>
      </c>
      <c r="D40" s="26"/>
      <c r="E40" s="11" t="s">
        <v>63</v>
      </c>
      <c r="F40" s="4" t="s">
        <v>70</v>
      </c>
      <c r="O40"/>
      <c r="P40"/>
      <c r="Q40"/>
      <c r="R40"/>
      <c r="S40"/>
      <c r="T40"/>
      <c r="U40"/>
      <c r="V40"/>
      <c r="W40"/>
      <c r="X40"/>
      <c r="Y40"/>
      <c r="Z40"/>
    </row>
    <row r="41" spans="2:26" ht="18">
      <c r="C41" s="12" t="s">
        <v>71</v>
      </c>
      <c r="D41"/>
      <c r="E41"/>
      <c r="F41"/>
      <c r="O41"/>
      <c r="P41"/>
      <c r="Q41"/>
      <c r="R41"/>
      <c r="S41"/>
      <c r="T41"/>
      <c r="U41"/>
      <c r="V41"/>
      <c r="W41"/>
      <c r="X41"/>
      <c r="Y41"/>
      <c r="Z41"/>
    </row>
    <row r="42" spans="2:26" ht="18">
      <c r="O42"/>
      <c r="P42"/>
      <c r="Q42"/>
      <c r="R42"/>
      <c r="S42"/>
      <c r="T42"/>
      <c r="U42"/>
      <c r="V42"/>
      <c r="W42"/>
      <c r="X42"/>
      <c r="Y42"/>
      <c r="Z42"/>
    </row>
    <row r="43" spans="2:26" ht="18">
      <c r="G43" s="2" t="s">
        <v>0</v>
      </c>
      <c r="O43"/>
      <c r="P43"/>
      <c r="Q43"/>
      <c r="R43"/>
      <c r="S43"/>
      <c r="T43"/>
      <c r="U43"/>
      <c r="V43"/>
      <c r="W43"/>
      <c r="X43"/>
      <c r="Y43"/>
      <c r="Z43"/>
    </row>
    <row r="44" spans="2:26" ht="19.899999999999999">
      <c r="B44" s="54" t="s">
        <v>72</v>
      </c>
      <c r="C44" s="54"/>
      <c r="D44" s="54"/>
      <c r="E44" s="54"/>
      <c r="F44" s="54"/>
      <c r="O44"/>
      <c r="P44"/>
      <c r="Q44"/>
      <c r="R44"/>
      <c r="S44"/>
      <c r="T44"/>
      <c r="U44"/>
      <c r="V44"/>
      <c r="W44"/>
      <c r="X44"/>
      <c r="Y44"/>
      <c r="Z44"/>
    </row>
    <row r="45" spans="2:26" ht="18">
      <c r="O45"/>
      <c r="P45"/>
      <c r="Q45"/>
      <c r="R45"/>
      <c r="S45"/>
      <c r="T45"/>
      <c r="U45"/>
      <c r="V45"/>
      <c r="W45"/>
      <c r="X45"/>
      <c r="Y45"/>
      <c r="Z45"/>
    </row>
    <row r="46" spans="2:26" ht="18">
      <c r="B46" s="1" t="s">
        <v>2</v>
      </c>
      <c r="O46"/>
      <c r="P46"/>
      <c r="Q46"/>
      <c r="R46"/>
      <c r="S46"/>
      <c r="T46"/>
      <c r="U46"/>
      <c r="V46"/>
      <c r="W46"/>
      <c r="X46"/>
      <c r="Y46"/>
      <c r="Z46"/>
    </row>
    <row r="47" spans="2:26" ht="18">
      <c r="F47" s="3" t="str">
        <f>F5</f>
        <v>スパークス・グリーンエナジー＆テクノロジー株式会社</v>
      </c>
      <c r="O47"/>
      <c r="P47"/>
      <c r="Q47"/>
      <c r="R47"/>
      <c r="S47"/>
      <c r="T47"/>
      <c r="U47"/>
      <c r="V47"/>
      <c r="W47"/>
      <c r="X47"/>
      <c r="Y47"/>
      <c r="Z47"/>
    </row>
    <row r="48" spans="2:26" ht="18">
      <c r="O48"/>
      <c r="P48"/>
      <c r="Q48"/>
      <c r="R48"/>
      <c r="S48"/>
      <c r="T48"/>
      <c r="U48"/>
      <c r="V48"/>
      <c r="W48"/>
      <c r="X48"/>
      <c r="Y48"/>
      <c r="Z48"/>
    </row>
    <row r="49" spans="2:26" ht="18">
      <c r="B49" s="1" t="s">
        <v>4</v>
      </c>
      <c r="O49"/>
      <c r="P49"/>
      <c r="Q49"/>
      <c r="R49"/>
      <c r="S49"/>
      <c r="T49"/>
      <c r="U49"/>
      <c r="V49"/>
      <c r="W49"/>
      <c r="X49"/>
      <c r="Y49"/>
      <c r="Z49"/>
    </row>
    <row r="50" spans="2:26" ht="12" customHeight="1">
      <c r="O50"/>
      <c r="P50"/>
      <c r="Q50"/>
      <c r="R50"/>
      <c r="S50"/>
      <c r="T50"/>
      <c r="U50"/>
      <c r="V50"/>
      <c r="W50"/>
      <c r="X50"/>
      <c r="Y50"/>
      <c r="Z50"/>
    </row>
    <row r="51" spans="2:26" ht="18">
      <c r="B51" s="4" t="s">
        <v>5</v>
      </c>
      <c r="C51" s="19">
        <f>C9</f>
        <v>46017</v>
      </c>
      <c r="D51" s="4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2:26" ht="18">
      <c r="B52" s="4" t="s">
        <v>6</v>
      </c>
      <c r="C52" s="19">
        <f>C10</f>
        <v>46053</v>
      </c>
      <c r="D52" s="4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2:26" ht="18">
      <c r="P53"/>
      <c r="Q53"/>
      <c r="R53"/>
      <c r="S53"/>
      <c r="T53"/>
      <c r="U53"/>
      <c r="V53"/>
    </row>
    <row r="54" spans="2:26" ht="18">
      <c r="P54"/>
      <c r="Q54"/>
      <c r="R54"/>
      <c r="S54"/>
      <c r="T54"/>
      <c r="U54"/>
      <c r="V54"/>
    </row>
    <row r="55" spans="2:26" ht="18">
      <c r="B55" s="1" t="s">
        <v>7</v>
      </c>
      <c r="P55"/>
      <c r="Q55"/>
      <c r="R55"/>
      <c r="S55"/>
      <c r="T55"/>
      <c r="U55"/>
      <c r="V55"/>
    </row>
    <row r="56" spans="2:26" ht="18">
      <c r="B56" s="55" t="s">
        <v>8</v>
      </c>
      <c r="C56" s="55"/>
      <c r="D56" s="55"/>
      <c r="E56" s="55"/>
      <c r="F56" s="5" t="s">
        <v>9</v>
      </c>
      <c r="P56"/>
      <c r="Q56"/>
      <c r="R56"/>
      <c r="S56"/>
      <c r="T56"/>
      <c r="U56"/>
      <c r="V56"/>
    </row>
    <row r="57" spans="2:26" ht="18">
      <c r="B57" s="56" t="s">
        <v>10</v>
      </c>
      <c r="C57" s="6" t="s">
        <v>11</v>
      </c>
      <c r="D57" s="14" t="str">
        <f>D15</f>
        <v>SGET富山メガソーラー発電所</v>
      </c>
      <c r="E57" s="7" t="s">
        <v>13</v>
      </c>
      <c r="F57" s="4"/>
      <c r="P57"/>
      <c r="Q57"/>
      <c r="R57"/>
      <c r="S57"/>
      <c r="T57"/>
      <c r="U57"/>
      <c r="V57"/>
    </row>
    <row r="58" spans="2:26" ht="18">
      <c r="B58" s="57"/>
      <c r="C58" s="6" t="s">
        <v>14</v>
      </c>
      <c r="D58" s="15" t="str">
        <f>D16</f>
        <v>富山県富山市舟倉字向山割36番2</v>
      </c>
      <c r="E58" s="7" t="s">
        <v>13</v>
      </c>
      <c r="F58" s="4"/>
      <c r="P58"/>
      <c r="Q58"/>
      <c r="R58"/>
      <c r="S58"/>
      <c r="T58"/>
      <c r="U58"/>
      <c r="V58"/>
    </row>
    <row r="59" spans="2:26" ht="18">
      <c r="B59" s="57"/>
      <c r="C59" s="6" t="s">
        <v>16</v>
      </c>
      <c r="D59" s="15">
        <f>D17</f>
        <v>36.567830000000001</v>
      </c>
      <c r="E59" s="8" t="s">
        <v>17</v>
      </c>
      <c r="F59" s="4" t="s">
        <v>18</v>
      </c>
      <c r="P59"/>
      <c r="Q59"/>
      <c r="R59"/>
      <c r="S59"/>
      <c r="T59"/>
      <c r="U59"/>
      <c r="V59"/>
    </row>
    <row r="60" spans="2:26" ht="18">
      <c r="B60" s="57"/>
      <c r="C60" s="6" t="s">
        <v>19</v>
      </c>
      <c r="D60" s="15">
        <f>D18</f>
        <v>137.23625999999999</v>
      </c>
      <c r="E60" s="8" t="s">
        <v>17</v>
      </c>
      <c r="F60" s="4" t="s">
        <v>20</v>
      </c>
      <c r="P60"/>
      <c r="Q60"/>
      <c r="R60"/>
      <c r="S60"/>
      <c r="T60"/>
      <c r="U60"/>
      <c r="V60"/>
    </row>
    <row r="61" spans="2:26" ht="18">
      <c r="B61" s="58"/>
      <c r="C61" s="6" t="s">
        <v>24</v>
      </c>
      <c r="D61" s="16">
        <f>D20</f>
        <v>2491500</v>
      </c>
      <c r="E61" s="18" t="s">
        <v>25</v>
      </c>
      <c r="F61" s="4"/>
      <c r="P61"/>
      <c r="Q61"/>
      <c r="R61"/>
      <c r="S61"/>
      <c r="T61"/>
      <c r="U61"/>
      <c r="V61"/>
    </row>
    <row r="62" spans="2:26" ht="18">
      <c r="B62" s="59" t="s">
        <v>61</v>
      </c>
      <c r="C62" s="10" t="s">
        <v>62</v>
      </c>
      <c r="D62" s="17"/>
      <c r="E62" s="11" t="s">
        <v>63</v>
      </c>
      <c r="F62" s="4" t="s">
        <v>64</v>
      </c>
      <c r="P62"/>
      <c r="Q62"/>
      <c r="R62"/>
      <c r="S62"/>
      <c r="T62"/>
      <c r="U62"/>
      <c r="V62"/>
    </row>
    <row r="63" spans="2:26">
      <c r="B63" s="60"/>
      <c r="C63" s="10" t="s">
        <v>65</v>
      </c>
      <c r="D63" s="17"/>
      <c r="E63" s="11" t="s">
        <v>63</v>
      </c>
      <c r="F63" s="4" t="s">
        <v>66</v>
      </c>
    </row>
    <row r="64" spans="2:26">
      <c r="B64" s="60"/>
      <c r="C64" s="10" t="s">
        <v>67</v>
      </c>
      <c r="D64" s="17"/>
      <c r="E64" s="11" t="s">
        <v>63</v>
      </c>
      <c r="F64" s="4" t="s">
        <v>68</v>
      </c>
    </row>
    <row r="65" spans="2:9">
      <c r="B65" s="61"/>
      <c r="C65" s="10" t="s">
        <v>69</v>
      </c>
      <c r="D65" s="17"/>
      <c r="E65" s="11" t="s">
        <v>63</v>
      </c>
      <c r="F65" s="4" t="s">
        <v>70</v>
      </c>
    </row>
    <row r="66" spans="2:9" ht="18">
      <c r="C66" s="12"/>
      <c r="D66"/>
      <c r="E66"/>
      <c r="F66"/>
    </row>
    <row r="68" spans="2:9" ht="18">
      <c r="B68"/>
      <c r="C68"/>
      <c r="D68"/>
      <c r="E68"/>
      <c r="F68"/>
      <c r="H68"/>
      <c r="I68"/>
    </row>
    <row r="69" spans="2:9" ht="18">
      <c r="B69"/>
      <c r="C69"/>
      <c r="D69"/>
      <c r="E69"/>
      <c r="F69"/>
      <c r="H69"/>
      <c r="I69"/>
    </row>
    <row r="70" spans="2:9" ht="18">
      <c r="C70"/>
      <c r="D70"/>
      <c r="E70"/>
      <c r="F70"/>
      <c r="G70" s="13"/>
      <c r="H70"/>
      <c r="I70"/>
    </row>
    <row r="71" spans="2:9" ht="18">
      <c r="C71"/>
      <c r="D71"/>
      <c r="E71"/>
      <c r="F71"/>
      <c r="G71" s="13"/>
      <c r="H71"/>
      <c r="I71"/>
    </row>
    <row r="72" spans="2:9" ht="18">
      <c r="C72"/>
      <c r="D72"/>
      <c r="E72"/>
      <c r="F72"/>
      <c r="G72" s="13"/>
      <c r="H72"/>
      <c r="I72"/>
    </row>
    <row r="73" spans="2:9" ht="18">
      <c r="C73"/>
      <c r="D73"/>
      <c r="E73"/>
      <c r="F73"/>
      <c r="G73" s="13"/>
      <c r="H73"/>
      <c r="I73"/>
    </row>
    <row r="74" spans="2:9" ht="18">
      <c r="C74"/>
      <c r="D74"/>
      <c r="E74"/>
      <c r="F74"/>
      <c r="G74" s="13"/>
      <c r="H74"/>
      <c r="I74"/>
    </row>
    <row r="75" spans="2:9" ht="18">
      <c r="C75"/>
      <c r="D75"/>
      <c r="E75"/>
      <c r="F75"/>
      <c r="G75" s="13"/>
      <c r="H75"/>
      <c r="I75"/>
    </row>
    <row r="76" spans="2:9" ht="18">
      <c r="C76"/>
      <c r="D76"/>
      <c r="E76"/>
      <c r="F76"/>
    </row>
    <row r="77" spans="2:9" ht="18">
      <c r="C77"/>
      <c r="D77"/>
      <c r="E77"/>
      <c r="F77"/>
    </row>
    <row r="78" spans="2:9" ht="18">
      <c r="C78"/>
      <c r="D78"/>
      <c r="E78"/>
      <c r="F78"/>
    </row>
    <row r="79" spans="2:9" ht="18">
      <c r="C79"/>
      <c r="D79"/>
      <c r="E79"/>
      <c r="F79"/>
    </row>
    <row r="80" spans="2:9" ht="18">
      <c r="C80"/>
      <c r="D80"/>
      <c r="E80"/>
      <c r="F80"/>
    </row>
    <row r="81" spans="2:6" ht="18">
      <c r="C81"/>
      <c r="D81"/>
      <c r="E81"/>
      <c r="F81"/>
    </row>
    <row r="82" spans="2:6" ht="18">
      <c r="C82"/>
      <c r="D82"/>
      <c r="E82"/>
      <c r="F82"/>
    </row>
    <row r="83" spans="2:6" ht="18">
      <c r="C83"/>
      <c r="D83"/>
      <c r="E83"/>
      <c r="F83"/>
    </row>
    <row r="84" spans="2:6" ht="18">
      <c r="C84"/>
      <c r="D84"/>
      <c r="E84"/>
      <c r="F84"/>
    </row>
    <row r="85" spans="2:6" ht="18">
      <c r="C85"/>
      <c r="D85"/>
      <c r="E85"/>
      <c r="F85"/>
    </row>
    <row r="86" spans="2:6" ht="18">
      <c r="C86"/>
      <c r="D86"/>
      <c r="E86"/>
      <c r="F86"/>
    </row>
    <row r="87" spans="2:6" ht="18">
      <c r="C87"/>
      <c r="D87"/>
      <c r="E87"/>
      <c r="F87"/>
    </row>
    <row r="88" spans="2:6" ht="18">
      <c r="C88"/>
      <c r="D88"/>
      <c r="E88"/>
      <c r="F88"/>
    </row>
    <row r="89" spans="2:6" ht="18">
      <c r="C89"/>
      <c r="D89"/>
      <c r="E89"/>
      <c r="F89"/>
    </row>
    <row r="90" spans="2:6" ht="18">
      <c r="C90"/>
      <c r="D90"/>
      <c r="E90"/>
      <c r="F90"/>
    </row>
    <row r="91" spans="2:6" ht="18">
      <c r="C91"/>
      <c r="D91"/>
      <c r="E91"/>
      <c r="F91"/>
    </row>
    <row r="92" spans="2:6" ht="18">
      <c r="C92"/>
      <c r="D92"/>
      <c r="E92"/>
      <c r="F92"/>
    </row>
    <row r="93" spans="2:6" ht="18">
      <c r="C93"/>
      <c r="D93"/>
      <c r="E93"/>
      <c r="F93"/>
    </row>
    <row r="94" spans="2:6" ht="18">
      <c r="C94"/>
      <c r="D94"/>
      <c r="E94"/>
      <c r="F94"/>
    </row>
    <row r="95" spans="2:6" ht="18">
      <c r="C95"/>
      <c r="D95"/>
      <c r="E95"/>
      <c r="F95"/>
    </row>
    <row r="96" spans="2:6" ht="18">
      <c r="B96"/>
      <c r="C96"/>
      <c r="D96"/>
      <c r="E96"/>
      <c r="F96"/>
    </row>
    <row r="97" spans="2:6" ht="13.5" customHeight="1">
      <c r="B97"/>
      <c r="C97"/>
      <c r="D97"/>
      <c r="E97"/>
      <c r="F97"/>
    </row>
    <row r="98" spans="2:6" ht="18">
      <c r="B98"/>
      <c r="C98"/>
      <c r="D98"/>
      <c r="E98"/>
      <c r="F98"/>
    </row>
    <row r="99" spans="2:6" ht="18">
      <c r="B99"/>
      <c r="C99"/>
      <c r="D99"/>
      <c r="E99"/>
      <c r="F99"/>
    </row>
    <row r="100" spans="2:6" ht="18">
      <c r="B100"/>
      <c r="C100"/>
      <c r="D100"/>
      <c r="E100"/>
      <c r="F100"/>
    </row>
    <row r="101" spans="2:6" ht="18">
      <c r="B101"/>
      <c r="C101"/>
      <c r="D101"/>
      <c r="E101"/>
      <c r="F101"/>
    </row>
    <row r="102" spans="2:6" ht="18">
      <c r="B102"/>
      <c r="C102"/>
      <c r="D102"/>
      <c r="E102"/>
      <c r="F102"/>
    </row>
    <row r="103" spans="2:6" ht="18">
      <c r="B103"/>
      <c r="C103"/>
      <c r="D103"/>
      <c r="E103"/>
      <c r="F103"/>
    </row>
    <row r="104" spans="2:6" ht="18">
      <c r="B104"/>
      <c r="C104"/>
      <c r="D104"/>
      <c r="E104"/>
      <c r="F104"/>
    </row>
    <row r="105" spans="2:6" ht="18">
      <c r="B105"/>
      <c r="C105"/>
      <c r="D105"/>
      <c r="E105"/>
      <c r="F105"/>
    </row>
  </sheetData>
  <mergeCells count="11">
    <mergeCell ref="B37:B40"/>
    <mergeCell ref="B44:F44"/>
    <mergeCell ref="B56:E56"/>
    <mergeCell ref="B57:B61"/>
    <mergeCell ref="B62:B65"/>
    <mergeCell ref="B35:B36"/>
    <mergeCell ref="B2:F2"/>
    <mergeCell ref="B14:E14"/>
    <mergeCell ref="B15:B20"/>
    <mergeCell ref="B21:B25"/>
    <mergeCell ref="B26:B34"/>
  </mergeCells>
  <phoneticPr fontId="3"/>
  <dataValidations count="3">
    <dataValidation type="list" allowBlank="1" showInputMessage="1" showErrorMessage="1" sqref="D28" xr:uid="{C8447E02-4037-4F35-B760-022780195CE6}">
      <formula1>"Ⅰ,Ⅱ,Ⅲ,Ⅳ"</formula1>
    </dataValidation>
    <dataValidation type="list" allowBlank="1" showInputMessage="1" showErrorMessage="1" sqref="D21" xr:uid="{F6D6726C-34C7-424A-8508-443EEE8887C8}">
      <formula1>"極めて重要,通常"</formula1>
    </dataValidation>
    <dataValidation type="list" allowBlank="1" showInputMessage="1" showErrorMessage="1" sqref="D26" xr:uid="{95B5DDCB-56A9-4873-9036-E6A93123CEA8}">
      <formula1>"JIS-C8955(2004年版),JIS-C8955(2017年版),NEDOガイドライン(2019年版)"</formula1>
    </dataValidation>
  </dataValidations>
  <pageMargins left="0.25" right="0.25" top="0.75" bottom="0.75" header="0.3" footer="0.3"/>
  <pageSetup paperSize="9" scale="59" orientation="portrait" r:id="rId1"/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679EC-48DA-46A8-B148-76373C8A21B9}">
  <sheetPr>
    <tabColor rgb="FF00B050"/>
    <pageSetUpPr fitToPage="1"/>
  </sheetPr>
  <dimension ref="B1:Z105"/>
  <sheetViews>
    <sheetView showOutlineSymbols="0" view="pageBreakPreview" topLeftCell="A18" zoomScale="80" zoomScaleNormal="100" zoomScaleSheetLayoutView="80" workbookViewId="0">
      <selection activeCell="D25" sqref="D25"/>
    </sheetView>
  </sheetViews>
  <sheetFormatPr defaultColWidth="9" defaultRowHeight="16.149999999999999"/>
  <cols>
    <col min="1" max="1" width="7.125" style="1" customWidth="1"/>
    <col min="2" max="2" width="10.75" style="1" customWidth="1"/>
    <col min="3" max="3" width="24.25" style="1" customWidth="1"/>
    <col min="4" max="4" width="25.875" style="1" bestFit="1" customWidth="1"/>
    <col min="5" max="5" width="6.375" style="1" customWidth="1"/>
    <col min="6" max="6" width="61.75" style="1" customWidth="1"/>
    <col min="7" max="7" width="8.25" style="1" customWidth="1"/>
    <col min="8" max="15" width="10.75" style="1" customWidth="1"/>
    <col min="16" max="17" width="9" style="1"/>
    <col min="18" max="18" width="10.75" style="1" bestFit="1" customWidth="1"/>
    <col min="19" max="20" width="10.5" style="1" customWidth="1"/>
    <col min="21" max="16384" width="9" style="1"/>
  </cols>
  <sheetData>
    <row r="1" spans="2:26">
      <c r="G1" s="2" t="s">
        <v>0</v>
      </c>
    </row>
    <row r="2" spans="2:26" ht="19.899999999999999">
      <c r="B2" s="54" t="s">
        <v>1</v>
      </c>
      <c r="C2" s="54"/>
      <c r="D2" s="54"/>
      <c r="E2" s="54"/>
      <c r="F2" s="54"/>
    </row>
    <row r="4" spans="2:26">
      <c r="B4" s="1" t="s">
        <v>2</v>
      </c>
    </row>
    <row r="5" spans="2:26">
      <c r="F5" s="3" t="s">
        <v>3</v>
      </c>
    </row>
    <row r="7" spans="2:26">
      <c r="B7" s="1" t="s">
        <v>4</v>
      </c>
    </row>
    <row r="9" spans="2:26">
      <c r="B9" s="4" t="s">
        <v>5</v>
      </c>
      <c r="C9" s="19">
        <v>46017</v>
      </c>
      <c r="D9" s="4"/>
    </row>
    <row r="10" spans="2:26">
      <c r="B10" s="4" t="s">
        <v>6</v>
      </c>
      <c r="C10" s="19">
        <v>46053</v>
      </c>
      <c r="D10" s="4"/>
    </row>
    <row r="13" spans="2:26" ht="18">
      <c r="B13" s="1" t="s">
        <v>7</v>
      </c>
      <c r="O13"/>
      <c r="P13"/>
      <c r="Q13"/>
      <c r="R13"/>
      <c r="S13"/>
      <c r="T13"/>
      <c r="U13"/>
      <c r="V13"/>
      <c r="W13"/>
      <c r="X13"/>
      <c r="Y13"/>
      <c r="Z13"/>
    </row>
    <row r="14" spans="2:26" ht="18">
      <c r="B14" s="55" t="s">
        <v>8</v>
      </c>
      <c r="C14" s="55"/>
      <c r="D14" s="55"/>
      <c r="E14" s="55"/>
      <c r="F14" s="5" t="s">
        <v>9</v>
      </c>
      <c r="O14"/>
      <c r="P14"/>
      <c r="Q14"/>
      <c r="R14"/>
      <c r="S14"/>
      <c r="T14"/>
      <c r="U14"/>
      <c r="V14"/>
      <c r="W14"/>
      <c r="X14"/>
      <c r="Y14"/>
      <c r="Z14"/>
    </row>
    <row r="15" spans="2:26" ht="18">
      <c r="B15" s="56" t="s">
        <v>10</v>
      </c>
      <c r="C15" s="6" t="s">
        <v>11</v>
      </c>
      <c r="D15" s="14" t="s">
        <v>77</v>
      </c>
      <c r="E15" s="7" t="s">
        <v>13</v>
      </c>
      <c r="F15" s="4"/>
      <c r="O15"/>
      <c r="P15"/>
      <c r="Q15"/>
      <c r="R15"/>
      <c r="S15"/>
      <c r="T15"/>
      <c r="U15"/>
      <c r="V15"/>
      <c r="W15"/>
      <c r="X15"/>
      <c r="Y15"/>
      <c r="Z15"/>
    </row>
    <row r="16" spans="2:26" ht="18">
      <c r="B16" s="57"/>
      <c r="C16" s="6" t="s">
        <v>14</v>
      </c>
      <c r="D16" s="15" t="s">
        <v>78</v>
      </c>
      <c r="E16" s="7" t="s">
        <v>13</v>
      </c>
      <c r="F16" s="4"/>
      <c r="O16"/>
      <c r="P16"/>
      <c r="Q16"/>
      <c r="R16"/>
      <c r="S16"/>
      <c r="T16"/>
      <c r="U16"/>
      <c r="V16"/>
      <c r="W16"/>
      <c r="X16"/>
      <c r="Y16"/>
      <c r="Z16"/>
    </row>
    <row r="17" spans="2:26" ht="18">
      <c r="B17" s="57"/>
      <c r="C17" s="6" t="s">
        <v>16</v>
      </c>
      <c r="D17" s="15">
        <v>35.325159999999997</v>
      </c>
      <c r="E17" s="8" t="s">
        <v>17</v>
      </c>
      <c r="F17" s="4" t="s">
        <v>18</v>
      </c>
      <c r="O17"/>
      <c r="P17"/>
      <c r="Q17"/>
      <c r="R17"/>
      <c r="S17"/>
      <c r="T17"/>
      <c r="U17"/>
      <c r="V17"/>
      <c r="W17"/>
      <c r="X17"/>
      <c r="Y17"/>
      <c r="Z17"/>
    </row>
    <row r="18" spans="2:26" ht="18">
      <c r="B18" s="57"/>
      <c r="C18" s="6" t="s">
        <v>19</v>
      </c>
      <c r="D18" s="15">
        <v>139.23179999999999</v>
      </c>
      <c r="E18" s="8" t="s">
        <v>17</v>
      </c>
      <c r="F18" s="4" t="s">
        <v>20</v>
      </c>
      <c r="O18"/>
      <c r="P18"/>
      <c r="Q18"/>
      <c r="R18"/>
      <c r="S18"/>
      <c r="T18"/>
      <c r="U18"/>
      <c r="V18"/>
      <c r="W18"/>
      <c r="X18"/>
      <c r="Y18"/>
      <c r="Z18"/>
    </row>
    <row r="19" spans="2:26" ht="18">
      <c r="B19" s="57"/>
      <c r="C19" s="6" t="s">
        <v>21</v>
      </c>
      <c r="D19" s="27">
        <v>42121</v>
      </c>
      <c r="E19" s="7" t="s">
        <v>22</v>
      </c>
      <c r="F19" s="4" t="s">
        <v>23</v>
      </c>
      <c r="O19"/>
      <c r="P19"/>
      <c r="Q19"/>
      <c r="R19"/>
      <c r="S19"/>
      <c r="T19"/>
      <c r="U19"/>
      <c r="V19"/>
      <c r="W19"/>
      <c r="X19"/>
      <c r="Y19"/>
      <c r="Z19"/>
    </row>
    <row r="20" spans="2:26" ht="18">
      <c r="B20" s="58"/>
      <c r="C20" s="6" t="s">
        <v>24</v>
      </c>
      <c r="D20" s="20">
        <v>2408424</v>
      </c>
      <c r="E20" s="18" t="s">
        <v>25</v>
      </c>
      <c r="F20" s="4"/>
      <c r="O20"/>
      <c r="P20"/>
      <c r="Q20"/>
      <c r="R20"/>
      <c r="S20"/>
      <c r="T20"/>
      <c r="U20"/>
      <c r="V20"/>
      <c r="W20"/>
      <c r="X20"/>
      <c r="Y20"/>
      <c r="Z20"/>
    </row>
    <row r="21" spans="2:26" ht="18">
      <c r="B21" s="56" t="s">
        <v>26</v>
      </c>
      <c r="C21" s="6" t="s">
        <v>27</v>
      </c>
      <c r="D21" s="21" t="s">
        <v>28</v>
      </c>
      <c r="E21" s="7" t="s">
        <v>13</v>
      </c>
      <c r="F21" s="4" t="s">
        <v>29</v>
      </c>
      <c r="O21"/>
      <c r="P21"/>
      <c r="Q21"/>
      <c r="R21"/>
      <c r="S21"/>
      <c r="T21"/>
      <c r="U21"/>
      <c r="V21"/>
      <c r="W21"/>
      <c r="X21"/>
      <c r="Y21"/>
      <c r="Z21"/>
    </row>
    <row r="22" spans="2:26" ht="18">
      <c r="B22" s="57"/>
      <c r="C22" s="9" t="s">
        <v>30</v>
      </c>
      <c r="D22" s="21">
        <v>10</v>
      </c>
      <c r="E22" s="8" t="s">
        <v>31</v>
      </c>
      <c r="F22" s="4" t="s">
        <v>32</v>
      </c>
      <c r="O22"/>
      <c r="P22"/>
      <c r="Q22"/>
      <c r="R22"/>
      <c r="S22"/>
      <c r="T22"/>
      <c r="U22"/>
      <c r="V22"/>
      <c r="W22"/>
      <c r="X22"/>
      <c r="Y22"/>
      <c r="Z22"/>
    </row>
    <row r="23" spans="2:26" ht="18">
      <c r="B23" s="57"/>
      <c r="C23" s="9" t="s">
        <v>33</v>
      </c>
      <c r="D23" s="22">
        <f>(1.075-0.5)/2+0.5</f>
        <v>0.78749999999999998</v>
      </c>
      <c r="E23" s="8" t="s">
        <v>34</v>
      </c>
      <c r="F23" s="4" t="s">
        <v>32</v>
      </c>
      <c r="O23"/>
      <c r="P23"/>
      <c r="Q23"/>
      <c r="R23"/>
      <c r="S23"/>
      <c r="T23"/>
      <c r="U23"/>
      <c r="V23"/>
      <c r="W23"/>
      <c r="X23"/>
      <c r="Y23"/>
      <c r="Z23"/>
    </row>
    <row r="24" spans="2:26" ht="18">
      <c r="B24" s="57"/>
      <c r="C24" s="9" t="s">
        <v>35</v>
      </c>
      <c r="D24" s="22">
        <v>0.5</v>
      </c>
      <c r="E24" s="8" t="s">
        <v>34</v>
      </c>
      <c r="F24" s="4" t="s">
        <v>32</v>
      </c>
      <c r="O24"/>
      <c r="P24"/>
      <c r="Q24"/>
      <c r="R24"/>
      <c r="S24"/>
      <c r="T24"/>
      <c r="U24"/>
      <c r="V24"/>
      <c r="W24"/>
      <c r="X24"/>
      <c r="Y24"/>
      <c r="Z24"/>
    </row>
    <row r="25" spans="2:26" ht="18">
      <c r="B25" s="58"/>
      <c r="C25" s="9" t="s">
        <v>36</v>
      </c>
      <c r="D25" s="63">
        <f>2.839*COS(RADIANS(10))</f>
        <v>2.7958692108016585</v>
      </c>
      <c r="E25" s="8" t="s">
        <v>37</v>
      </c>
      <c r="F25" s="4" t="s">
        <v>32</v>
      </c>
      <c r="O25"/>
      <c r="P25"/>
      <c r="Q25"/>
      <c r="R25"/>
      <c r="S25"/>
      <c r="T25"/>
      <c r="U25"/>
      <c r="V25"/>
      <c r="W25"/>
      <c r="X25"/>
      <c r="Y25"/>
      <c r="Z25"/>
    </row>
    <row r="26" spans="2:26" ht="18">
      <c r="B26" s="56" t="s">
        <v>38</v>
      </c>
      <c r="C26" s="9" t="s">
        <v>39</v>
      </c>
      <c r="D26" s="23" t="s">
        <v>40</v>
      </c>
      <c r="E26" s="7" t="s">
        <v>13</v>
      </c>
      <c r="F26" s="4" t="s">
        <v>41</v>
      </c>
      <c r="O26"/>
      <c r="P26"/>
      <c r="Q26"/>
      <c r="R26"/>
      <c r="S26"/>
      <c r="T26"/>
      <c r="U26"/>
      <c r="V26"/>
      <c r="W26"/>
      <c r="X26"/>
      <c r="Y26"/>
      <c r="Z26"/>
    </row>
    <row r="27" spans="2:26" ht="18">
      <c r="B27" s="57"/>
      <c r="C27" s="9" t="s">
        <v>42</v>
      </c>
      <c r="D27" s="24">
        <v>34</v>
      </c>
      <c r="E27" s="8" t="s">
        <v>43</v>
      </c>
      <c r="F27" s="4" t="s">
        <v>44</v>
      </c>
      <c r="O27"/>
      <c r="P27"/>
      <c r="Q27"/>
      <c r="R27"/>
      <c r="S27"/>
      <c r="T27"/>
      <c r="U27"/>
      <c r="V27"/>
      <c r="W27"/>
      <c r="X27"/>
      <c r="Y27"/>
      <c r="Z27"/>
    </row>
    <row r="28" spans="2:26" ht="18">
      <c r="B28" s="57"/>
      <c r="C28" s="9" t="s">
        <v>45</v>
      </c>
      <c r="D28" s="24" t="s">
        <v>46</v>
      </c>
      <c r="E28" s="7" t="s">
        <v>13</v>
      </c>
      <c r="F28" s="4" t="s">
        <v>47</v>
      </c>
      <c r="O28"/>
      <c r="P28"/>
      <c r="Q28"/>
      <c r="R28"/>
      <c r="S28"/>
      <c r="T28"/>
      <c r="U28"/>
      <c r="V28"/>
      <c r="W28"/>
      <c r="X28"/>
      <c r="Y28"/>
      <c r="Z28"/>
    </row>
    <row r="29" spans="2:26" ht="18">
      <c r="B29" s="57"/>
      <c r="C29" s="9" t="s">
        <v>48</v>
      </c>
      <c r="D29" s="24" t="s">
        <v>49</v>
      </c>
      <c r="E29" s="7" t="s">
        <v>13</v>
      </c>
      <c r="F29" s="4" t="s">
        <v>44</v>
      </c>
      <c r="O29"/>
      <c r="P29"/>
      <c r="Q29"/>
      <c r="R29"/>
      <c r="S29"/>
      <c r="T29"/>
      <c r="U29"/>
      <c r="V29"/>
      <c r="W29"/>
      <c r="X29"/>
      <c r="Y29"/>
      <c r="Z29"/>
    </row>
    <row r="30" spans="2:26" ht="18">
      <c r="B30" s="57"/>
      <c r="C30" s="9" t="s">
        <v>50</v>
      </c>
      <c r="D30" s="24">
        <v>24</v>
      </c>
      <c r="E30" s="8" t="s">
        <v>51</v>
      </c>
      <c r="F30" s="4" t="s">
        <v>52</v>
      </c>
      <c r="O30"/>
      <c r="P30"/>
      <c r="Q30"/>
      <c r="R30"/>
      <c r="S30"/>
      <c r="T30"/>
      <c r="U30"/>
      <c r="V30"/>
      <c r="W30"/>
      <c r="X30"/>
      <c r="Y30"/>
      <c r="Z30"/>
    </row>
    <row r="31" spans="2:26" ht="18">
      <c r="B31" s="57"/>
      <c r="C31" s="9" t="s">
        <v>53</v>
      </c>
      <c r="D31" s="23" t="s">
        <v>49</v>
      </c>
      <c r="E31" s="7" t="s">
        <v>13</v>
      </c>
      <c r="F31" s="4" t="s">
        <v>44</v>
      </c>
      <c r="O31"/>
      <c r="P31"/>
      <c r="Q31"/>
      <c r="R31"/>
      <c r="S31"/>
      <c r="T31"/>
      <c r="U31"/>
      <c r="V31"/>
      <c r="W31"/>
      <c r="X31"/>
      <c r="Y31"/>
      <c r="Z31"/>
    </row>
    <row r="32" spans="2:26" ht="18">
      <c r="B32" s="57"/>
      <c r="C32" s="9" t="s">
        <v>54</v>
      </c>
      <c r="D32" s="23">
        <v>0.98</v>
      </c>
      <c r="E32" s="7" t="s">
        <v>13</v>
      </c>
      <c r="F32" s="4" t="s">
        <v>44</v>
      </c>
      <c r="O32"/>
      <c r="P32"/>
      <c r="Q32"/>
      <c r="R32"/>
      <c r="S32"/>
      <c r="T32"/>
      <c r="U32"/>
      <c r="V32"/>
      <c r="W32"/>
      <c r="X32"/>
      <c r="Y32"/>
      <c r="Z32"/>
    </row>
    <row r="33" spans="2:26" ht="18">
      <c r="B33" s="57"/>
      <c r="C33" s="9" t="s">
        <v>55</v>
      </c>
      <c r="D33" s="23" t="s">
        <v>49</v>
      </c>
      <c r="E33" s="8" t="s">
        <v>56</v>
      </c>
      <c r="F33" s="4" t="s">
        <v>44</v>
      </c>
      <c r="O33"/>
      <c r="P33"/>
      <c r="Q33"/>
      <c r="R33"/>
      <c r="S33"/>
      <c r="T33"/>
      <c r="U33"/>
      <c r="V33"/>
      <c r="W33"/>
      <c r="X33"/>
      <c r="Y33"/>
      <c r="Z33"/>
    </row>
    <row r="34" spans="2:26" ht="18">
      <c r="B34" s="58"/>
      <c r="C34" s="9" t="s">
        <v>57</v>
      </c>
      <c r="D34" s="23">
        <v>2400</v>
      </c>
      <c r="E34" s="8" t="s">
        <v>56</v>
      </c>
      <c r="F34" s="4" t="s">
        <v>44</v>
      </c>
      <c r="O34"/>
      <c r="P34"/>
      <c r="Q34"/>
      <c r="R34"/>
      <c r="S34"/>
      <c r="T34"/>
      <c r="U34"/>
      <c r="V34"/>
      <c r="W34"/>
      <c r="X34"/>
      <c r="Y34"/>
      <c r="Z34"/>
    </row>
    <row r="35" spans="2:26" ht="18">
      <c r="B35" s="52" t="s">
        <v>58</v>
      </c>
      <c r="C35" s="9" t="s">
        <v>59</v>
      </c>
      <c r="D35" s="32"/>
      <c r="E35" s="7" t="s">
        <v>13</v>
      </c>
      <c r="F35" s="4" t="s">
        <v>44</v>
      </c>
      <c r="O35"/>
      <c r="P35"/>
      <c r="Q35"/>
      <c r="R35"/>
      <c r="S35"/>
      <c r="T35"/>
      <c r="U35"/>
      <c r="V35"/>
      <c r="W35"/>
      <c r="X35"/>
      <c r="Y35"/>
      <c r="Z35"/>
    </row>
    <row r="36" spans="2:26" ht="18">
      <c r="B36" s="53"/>
      <c r="C36" s="9" t="s">
        <v>60</v>
      </c>
      <c r="D36" s="32"/>
      <c r="E36" s="7" t="s">
        <v>13</v>
      </c>
      <c r="F36" s="4" t="s">
        <v>44</v>
      </c>
      <c r="O36"/>
      <c r="P36"/>
      <c r="Q36"/>
      <c r="R36"/>
      <c r="S36"/>
      <c r="T36"/>
      <c r="U36"/>
      <c r="V36"/>
      <c r="W36"/>
      <c r="X36"/>
      <c r="Y36"/>
      <c r="Z36"/>
    </row>
    <row r="37" spans="2:26" ht="18">
      <c r="B37" s="59" t="s">
        <v>61</v>
      </c>
      <c r="C37" s="10" t="s">
        <v>62</v>
      </c>
      <c r="D37" s="26"/>
      <c r="E37" s="11" t="s">
        <v>63</v>
      </c>
      <c r="F37" s="4" t="s">
        <v>64</v>
      </c>
      <c r="O37"/>
      <c r="P37"/>
      <c r="Q37"/>
      <c r="R37"/>
      <c r="S37"/>
      <c r="T37"/>
      <c r="U37"/>
      <c r="V37"/>
      <c r="W37"/>
      <c r="X37"/>
      <c r="Y37"/>
      <c r="Z37"/>
    </row>
    <row r="38" spans="2:26" ht="18">
      <c r="B38" s="60"/>
      <c r="C38" s="10" t="s">
        <v>65</v>
      </c>
      <c r="D38" s="26"/>
      <c r="E38" s="11" t="s">
        <v>63</v>
      </c>
      <c r="F38" s="4" t="s">
        <v>66</v>
      </c>
      <c r="O38"/>
      <c r="P38"/>
      <c r="Q38"/>
      <c r="R38"/>
      <c r="S38"/>
      <c r="T38"/>
      <c r="U38"/>
      <c r="V38"/>
      <c r="W38"/>
      <c r="X38"/>
      <c r="Y38"/>
      <c r="Z38"/>
    </row>
    <row r="39" spans="2:26" ht="18">
      <c r="B39" s="60"/>
      <c r="C39" s="10" t="s">
        <v>67</v>
      </c>
      <c r="D39" s="26"/>
      <c r="E39" s="11" t="s">
        <v>63</v>
      </c>
      <c r="F39" s="4" t="s">
        <v>68</v>
      </c>
      <c r="O39"/>
      <c r="P39"/>
      <c r="Q39"/>
      <c r="R39"/>
      <c r="S39"/>
      <c r="T39"/>
      <c r="U39"/>
      <c r="V39"/>
      <c r="W39"/>
      <c r="X39"/>
      <c r="Y39"/>
      <c r="Z39"/>
    </row>
    <row r="40" spans="2:26" ht="18">
      <c r="B40" s="61"/>
      <c r="C40" s="10" t="s">
        <v>69</v>
      </c>
      <c r="D40" s="26"/>
      <c r="E40" s="11" t="s">
        <v>63</v>
      </c>
      <c r="F40" s="4" t="s">
        <v>70</v>
      </c>
      <c r="O40"/>
      <c r="P40"/>
      <c r="Q40"/>
      <c r="R40"/>
      <c r="S40"/>
      <c r="T40"/>
      <c r="U40"/>
      <c r="V40"/>
      <c r="W40"/>
      <c r="X40"/>
      <c r="Y40"/>
      <c r="Z40"/>
    </row>
    <row r="41" spans="2:26" ht="18">
      <c r="C41" s="12" t="s">
        <v>71</v>
      </c>
      <c r="D41"/>
      <c r="E41"/>
      <c r="F41"/>
      <c r="O41"/>
      <c r="P41"/>
      <c r="Q41"/>
      <c r="R41"/>
      <c r="S41"/>
      <c r="T41"/>
      <c r="U41"/>
      <c r="V41"/>
      <c r="W41"/>
      <c r="X41"/>
      <c r="Y41"/>
      <c r="Z41"/>
    </row>
    <row r="42" spans="2:26" ht="18">
      <c r="O42"/>
      <c r="P42"/>
      <c r="Q42"/>
      <c r="R42"/>
      <c r="S42"/>
      <c r="T42"/>
      <c r="U42"/>
      <c r="V42"/>
      <c r="W42"/>
      <c r="X42"/>
      <c r="Y42"/>
      <c r="Z42"/>
    </row>
    <row r="43" spans="2:26" ht="18">
      <c r="G43" s="2" t="s">
        <v>0</v>
      </c>
      <c r="O43"/>
      <c r="P43"/>
      <c r="Q43"/>
      <c r="R43"/>
      <c r="S43"/>
      <c r="T43"/>
      <c r="U43"/>
      <c r="V43"/>
      <c r="W43"/>
      <c r="X43"/>
      <c r="Y43"/>
      <c r="Z43"/>
    </row>
    <row r="44" spans="2:26" ht="19.899999999999999">
      <c r="B44" s="54" t="s">
        <v>72</v>
      </c>
      <c r="C44" s="54"/>
      <c r="D44" s="54"/>
      <c r="E44" s="54"/>
      <c r="F44" s="54"/>
      <c r="O44"/>
      <c r="P44"/>
      <c r="Q44"/>
      <c r="R44"/>
      <c r="S44"/>
      <c r="T44"/>
      <c r="U44"/>
      <c r="V44"/>
      <c r="W44"/>
      <c r="X44"/>
      <c r="Y44"/>
      <c r="Z44"/>
    </row>
    <row r="45" spans="2:26" ht="18">
      <c r="O45"/>
      <c r="P45"/>
      <c r="Q45"/>
      <c r="R45"/>
      <c r="S45"/>
      <c r="T45"/>
      <c r="U45"/>
      <c r="V45"/>
      <c r="W45"/>
      <c r="X45"/>
      <c r="Y45"/>
      <c r="Z45"/>
    </row>
    <row r="46" spans="2:26" ht="18">
      <c r="B46" s="1" t="s">
        <v>2</v>
      </c>
      <c r="O46"/>
      <c r="P46"/>
      <c r="Q46"/>
      <c r="R46"/>
      <c r="S46"/>
      <c r="T46"/>
      <c r="U46"/>
      <c r="V46"/>
      <c r="W46"/>
      <c r="X46"/>
      <c r="Y46"/>
      <c r="Z46"/>
    </row>
    <row r="47" spans="2:26" ht="18">
      <c r="F47" s="3" t="str">
        <f>F5</f>
        <v>スパークス・グリーンエナジー＆テクノロジー株式会社</v>
      </c>
      <c r="O47"/>
      <c r="P47"/>
      <c r="Q47"/>
      <c r="R47"/>
      <c r="S47"/>
      <c r="T47"/>
      <c r="U47"/>
      <c r="V47"/>
      <c r="W47"/>
      <c r="X47"/>
      <c r="Y47"/>
      <c r="Z47"/>
    </row>
    <row r="48" spans="2:26" ht="18">
      <c r="O48"/>
      <c r="P48"/>
      <c r="Q48"/>
      <c r="R48"/>
      <c r="S48"/>
      <c r="T48"/>
      <c r="U48"/>
      <c r="V48"/>
      <c r="W48"/>
      <c r="X48"/>
      <c r="Y48"/>
      <c r="Z48"/>
    </row>
    <row r="49" spans="2:26" ht="18">
      <c r="B49" s="1" t="s">
        <v>4</v>
      </c>
      <c r="O49"/>
      <c r="P49"/>
      <c r="Q49"/>
      <c r="R49"/>
      <c r="S49"/>
      <c r="T49"/>
      <c r="U49"/>
      <c r="V49"/>
      <c r="W49"/>
      <c r="X49"/>
      <c r="Y49"/>
      <c r="Z49"/>
    </row>
    <row r="50" spans="2:26" ht="12" customHeight="1">
      <c r="O50"/>
      <c r="P50"/>
      <c r="Q50"/>
      <c r="R50"/>
      <c r="S50"/>
      <c r="T50"/>
      <c r="U50"/>
      <c r="V50"/>
      <c r="W50"/>
      <c r="X50"/>
      <c r="Y50"/>
      <c r="Z50"/>
    </row>
    <row r="51" spans="2:26" ht="18">
      <c r="B51" s="4" t="s">
        <v>5</v>
      </c>
      <c r="C51" s="19">
        <f>C9</f>
        <v>46017</v>
      </c>
      <c r="D51" s="4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2:26" ht="18">
      <c r="B52" s="4" t="s">
        <v>6</v>
      </c>
      <c r="C52" s="19">
        <f>C10</f>
        <v>46053</v>
      </c>
      <c r="D52" s="4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2:26" ht="18">
      <c r="P53"/>
      <c r="Q53"/>
      <c r="R53"/>
      <c r="S53"/>
      <c r="T53"/>
      <c r="U53"/>
      <c r="V53"/>
    </row>
    <row r="54" spans="2:26" ht="18">
      <c r="P54"/>
      <c r="Q54"/>
      <c r="R54"/>
      <c r="S54"/>
      <c r="T54"/>
      <c r="U54"/>
      <c r="V54"/>
    </row>
    <row r="55" spans="2:26" ht="18">
      <c r="B55" s="1" t="s">
        <v>7</v>
      </c>
      <c r="P55"/>
      <c r="Q55"/>
      <c r="R55"/>
      <c r="S55"/>
      <c r="T55"/>
      <c r="U55"/>
      <c r="V55"/>
    </row>
    <row r="56" spans="2:26" ht="18">
      <c r="B56" s="55" t="s">
        <v>8</v>
      </c>
      <c r="C56" s="55"/>
      <c r="D56" s="55"/>
      <c r="E56" s="55"/>
      <c r="F56" s="5" t="s">
        <v>9</v>
      </c>
      <c r="P56"/>
      <c r="Q56"/>
      <c r="R56"/>
      <c r="S56"/>
      <c r="T56"/>
      <c r="U56"/>
      <c r="V56"/>
    </row>
    <row r="57" spans="2:26" ht="18">
      <c r="B57" s="56" t="s">
        <v>10</v>
      </c>
      <c r="C57" s="6" t="s">
        <v>11</v>
      </c>
      <c r="D57" s="14" t="str">
        <f>D15</f>
        <v>SGET中井メガソーラー発電所</v>
      </c>
      <c r="E57" s="7" t="s">
        <v>13</v>
      </c>
      <c r="F57" s="4"/>
      <c r="P57"/>
      <c r="Q57"/>
      <c r="R57"/>
      <c r="S57"/>
      <c r="T57"/>
      <c r="U57"/>
      <c r="V57"/>
    </row>
    <row r="58" spans="2:26" ht="18">
      <c r="B58" s="57"/>
      <c r="C58" s="6" t="s">
        <v>14</v>
      </c>
      <c r="D58" s="15" t="str">
        <f>D16</f>
        <v>神奈川県足柄上郡中井町井ノ口3717番</v>
      </c>
      <c r="E58" s="7" t="s">
        <v>13</v>
      </c>
      <c r="F58" s="4"/>
      <c r="P58"/>
      <c r="Q58"/>
      <c r="R58"/>
      <c r="S58"/>
      <c r="T58"/>
      <c r="U58"/>
      <c r="V58"/>
    </row>
    <row r="59" spans="2:26" ht="18">
      <c r="B59" s="57"/>
      <c r="C59" s="6" t="s">
        <v>16</v>
      </c>
      <c r="D59" s="15">
        <f>D17</f>
        <v>35.325159999999997</v>
      </c>
      <c r="E59" s="8" t="s">
        <v>17</v>
      </c>
      <c r="F59" s="4" t="s">
        <v>18</v>
      </c>
      <c r="P59"/>
      <c r="Q59"/>
      <c r="R59"/>
      <c r="S59"/>
      <c r="T59"/>
      <c r="U59"/>
      <c r="V59"/>
    </row>
    <row r="60" spans="2:26" ht="18">
      <c r="B60" s="57"/>
      <c r="C60" s="6" t="s">
        <v>19</v>
      </c>
      <c r="D60" s="15">
        <f>D18</f>
        <v>139.23179999999999</v>
      </c>
      <c r="E60" s="8" t="s">
        <v>17</v>
      </c>
      <c r="F60" s="4" t="s">
        <v>20</v>
      </c>
      <c r="P60"/>
      <c r="Q60"/>
      <c r="R60"/>
      <c r="S60"/>
      <c r="T60"/>
      <c r="U60"/>
      <c r="V60"/>
    </row>
    <row r="61" spans="2:26" ht="18">
      <c r="B61" s="58"/>
      <c r="C61" s="6" t="s">
        <v>24</v>
      </c>
      <c r="D61" s="16">
        <f>D20</f>
        <v>2408424</v>
      </c>
      <c r="E61" s="18" t="s">
        <v>25</v>
      </c>
      <c r="F61" s="4"/>
      <c r="P61"/>
      <c r="Q61"/>
      <c r="R61"/>
      <c r="S61"/>
      <c r="T61"/>
      <c r="U61"/>
      <c r="V61"/>
    </row>
    <row r="62" spans="2:26" ht="18">
      <c r="B62" s="59" t="s">
        <v>61</v>
      </c>
      <c r="C62" s="10" t="s">
        <v>62</v>
      </c>
      <c r="D62" s="17"/>
      <c r="E62" s="11" t="s">
        <v>63</v>
      </c>
      <c r="F62" s="4" t="s">
        <v>64</v>
      </c>
      <c r="P62"/>
      <c r="Q62"/>
      <c r="R62"/>
      <c r="S62"/>
      <c r="T62"/>
      <c r="U62"/>
      <c r="V62"/>
    </row>
    <row r="63" spans="2:26">
      <c r="B63" s="60"/>
      <c r="C63" s="10" t="s">
        <v>65</v>
      </c>
      <c r="D63" s="17"/>
      <c r="E63" s="11" t="s">
        <v>63</v>
      </c>
      <c r="F63" s="4" t="s">
        <v>66</v>
      </c>
    </row>
    <row r="64" spans="2:26">
      <c r="B64" s="60"/>
      <c r="C64" s="10" t="s">
        <v>67</v>
      </c>
      <c r="D64" s="17"/>
      <c r="E64" s="11" t="s">
        <v>63</v>
      </c>
      <c r="F64" s="4" t="s">
        <v>68</v>
      </c>
    </row>
    <row r="65" spans="2:9">
      <c r="B65" s="61"/>
      <c r="C65" s="10" t="s">
        <v>69</v>
      </c>
      <c r="D65" s="17"/>
      <c r="E65" s="11" t="s">
        <v>63</v>
      </c>
      <c r="F65" s="4" t="s">
        <v>70</v>
      </c>
    </row>
    <row r="66" spans="2:9" ht="18">
      <c r="C66" s="12"/>
      <c r="D66"/>
      <c r="E66"/>
      <c r="F66"/>
    </row>
    <row r="68" spans="2:9" ht="18">
      <c r="B68"/>
      <c r="C68"/>
      <c r="D68"/>
      <c r="E68"/>
      <c r="F68"/>
      <c r="H68"/>
      <c r="I68"/>
    </row>
    <row r="69" spans="2:9" ht="18">
      <c r="B69"/>
      <c r="C69"/>
      <c r="D69"/>
      <c r="E69"/>
      <c r="F69"/>
      <c r="H69"/>
      <c r="I69"/>
    </row>
    <row r="70" spans="2:9" ht="18">
      <c r="C70"/>
      <c r="D70"/>
      <c r="E70"/>
      <c r="F70"/>
      <c r="G70" s="13"/>
      <c r="H70"/>
      <c r="I70"/>
    </row>
    <row r="71" spans="2:9" ht="18">
      <c r="C71"/>
      <c r="D71"/>
      <c r="E71"/>
      <c r="F71"/>
      <c r="G71" s="13"/>
      <c r="H71"/>
      <c r="I71"/>
    </row>
    <row r="72" spans="2:9" ht="18">
      <c r="C72"/>
      <c r="D72"/>
      <c r="E72"/>
      <c r="F72"/>
      <c r="G72" s="13"/>
      <c r="H72"/>
      <c r="I72"/>
    </row>
    <row r="73" spans="2:9" ht="18">
      <c r="C73"/>
      <c r="D73"/>
      <c r="E73"/>
      <c r="F73"/>
      <c r="G73" s="13"/>
      <c r="H73"/>
      <c r="I73"/>
    </row>
    <row r="74" spans="2:9" ht="18">
      <c r="C74"/>
      <c r="D74"/>
      <c r="E74"/>
      <c r="F74"/>
      <c r="G74" s="13"/>
      <c r="H74"/>
      <c r="I74"/>
    </row>
    <row r="75" spans="2:9" ht="18">
      <c r="C75"/>
      <c r="D75"/>
      <c r="E75"/>
      <c r="F75"/>
      <c r="G75" s="13"/>
      <c r="H75"/>
      <c r="I75"/>
    </row>
    <row r="76" spans="2:9" ht="18">
      <c r="C76"/>
      <c r="D76"/>
      <c r="E76"/>
      <c r="F76"/>
    </row>
    <row r="77" spans="2:9" ht="18">
      <c r="C77"/>
      <c r="D77"/>
      <c r="E77"/>
      <c r="F77"/>
    </row>
    <row r="78" spans="2:9" ht="18">
      <c r="C78"/>
      <c r="D78"/>
      <c r="E78"/>
      <c r="F78"/>
    </row>
    <row r="79" spans="2:9" ht="18">
      <c r="C79"/>
      <c r="D79"/>
      <c r="E79"/>
      <c r="F79"/>
    </row>
    <row r="80" spans="2:9" ht="18">
      <c r="C80"/>
      <c r="D80"/>
      <c r="E80"/>
      <c r="F80"/>
    </row>
    <row r="81" spans="2:6" ht="18">
      <c r="C81"/>
      <c r="D81"/>
      <c r="E81"/>
      <c r="F81"/>
    </row>
    <row r="82" spans="2:6" ht="18">
      <c r="C82"/>
      <c r="D82"/>
      <c r="E82"/>
      <c r="F82"/>
    </row>
    <row r="83" spans="2:6" ht="18">
      <c r="C83"/>
      <c r="D83"/>
      <c r="E83"/>
      <c r="F83"/>
    </row>
    <row r="84" spans="2:6" ht="18">
      <c r="C84"/>
      <c r="D84"/>
      <c r="E84"/>
      <c r="F84"/>
    </row>
    <row r="85" spans="2:6" ht="18">
      <c r="C85"/>
      <c r="D85"/>
      <c r="E85"/>
      <c r="F85"/>
    </row>
    <row r="86" spans="2:6" ht="18">
      <c r="C86"/>
      <c r="D86"/>
      <c r="E86"/>
      <c r="F86"/>
    </row>
    <row r="87" spans="2:6" ht="18">
      <c r="C87"/>
      <c r="D87"/>
      <c r="E87"/>
      <c r="F87"/>
    </row>
    <row r="88" spans="2:6" ht="18">
      <c r="C88"/>
      <c r="D88"/>
      <c r="E88"/>
      <c r="F88"/>
    </row>
    <row r="89" spans="2:6" ht="18">
      <c r="C89"/>
      <c r="D89"/>
      <c r="E89"/>
      <c r="F89"/>
    </row>
    <row r="90" spans="2:6" ht="18">
      <c r="C90"/>
      <c r="D90"/>
      <c r="E90"/>
      <c r="F90"/>
    </row>
    <row r="91" spans="2:6" ht="18">
      <c r="C91"/>
      <c r="D91"/>
      <c r="E91"/>
      <c r="F91"/>
    </row>
    <row r="92" spans="2:6" ht="18">
      <c r="C92"/>
      <c r="D92"/>
      <c r="E92"/>
      <c r="F92"/>
    </row>
    <row r="93" spans="2:6" ht="18">
      <c r="C93"/>
      <c r="D93"/>
      <c r="E93"/>
      <c r="F93"/>
    </row>
    <row r="94" spans="2:6" ht="18">
      <c r="C94"/>
      <c r="D94"/>
      <c r="E94"/>
      <c r="F94"/>
    </row>
    <row r="95" spans="2:6" ht="18">
      <c r="C95"/>
      <c r="D95"/>
      <c r="E95"/>
      <c r="F95"/>
    </row>
    <row r="96" spans="2:6" ht="18">
      <c r="B96"/>
      <c r="C96"/>
      <c r="D96"/>
      <c r="E96"/>
      <c r="F96"/>
    </row>
    <row r="97" spans="2:6" ht="13.5" customHeight="1">
      <c r="B97"/>
      <c r="C97"/>
      <c r="D97"/>
      <c r="E97"/>
      <c r="F97"/>
    </row>
    <row r="98" spans="2:6" ht="18">
      <c r="B98"/>
      <c r="C98"/>
      <c r="D98"/>
      <c r="E98"/>
      <c r="F98"/>
    </row>
    <row r="99" spans="2:6" ht="18">
      <c r="B99"/>
      <c r="C99"/>
      <c r="D99"/>
      <c r="E99"/>
      <c r="F99"/>
    </row>
    <row r="100" spans="2:6" ht="18">
      <c r="B100"/>
      <c r="C100"/>
      <c r="D100"/>
      <c r="E100"/>
      <c r="F100"/>
    </row>
    <row r="101" spans="2:6" ht="18">
      <c r="B101"/>
      <c r="C101"/>
      <c r="D101"/>
      <c r="E101"/>
      <c r="F101"/>
    </row>
    <row r="102" spans="2:6" ht="18">
      <c r="B102"/>
      <c r="C102"/>
      <c r="D102"/>
      <c r="E102"/>
      <c r="F102"/>
    </row>
    <row r="103" spans="2:6" ht="18">
      <c r="B103"/>
      <c r="C103"/>
      <c r="D103"/>
      <c r="E103"/>
      <c r="F103"/>
    </row>
    <row r="104" spans="2:6" ht="18">
      <c r="B104"/>
      <c r="C104"/>
      <c r="D104"/>
      <c r="E104"/>
      <c r="F104"/>
    </row>
    <row r="105" spans="2:6" ht="18">
      <c r="B105"/>
      <c r="C105"/>
      <c r="D105"/>
      <c r="E105"/>
      <c r="F105"/>
    </row>
  </sheetData>
  <mergeCells count="11">
    <mergeCell ref="B37:B40"/>
    <mergeCell ref="B44:F44"/>
    <mergeCell ref="B56:E56"/>
    <mergeCell ref="B57:B61"/>
    <mergeCell ref="B62:B65"/>
    <mergeCell ref="B35:B36"/>
    <mergeCell ref="B2:F2"/>
    <mergeCell ref="B14:E14"/>
    <mergeCell ref="B15:B20"/>
    <mergeCell ref="B21:B25"/>
    <mergeCell ref="B26:B34"/>
  </mergeCells>
  <phoneticPr fontId="3"/>
  <dataValidations count="3">
    <dataValidation type="list" allowBlank="1" showInputMessage="1" showErrorMessage="1" sqref="D26" xr:uid="{4EC6CEAB-4961-41E8-9E60-8A5800159352}">
      <formula1>"JIS-C8955(2004年版),JIS-C8955(2017年版),NEDOガイドライン(2019年版)"</formula1>
    </dataValidation>
    <dataValidation type="list" allowBlank="1" showInputMessage="1" showErrorMessage="1" sqref="D21" xr:uid="{A52F5406-F025-4E37-A7C9-9FA344F962D4}">
      <formula1>"極めて重要,通常"</formula1>
    </dataValidation>
    <dataValidation type="list" allowBlank="1" showInputMessage="1" showErrorMessage="1" sqref="D28" xr:uid="{940CB8AB-B9F4-4175-BA02-5D78653AF2A2}">
      <formula1>"Ⅰ,Ⅱ,Ⅲ,Ⅳ"</formula1>
    </dataValidation>
  </dataValidations>
  <pageMargins left="0.25" right="0.25" top="0.75" bottom="0.75" header="0.3" footer="0.3"/>
  <pageSetup paperSize="9" scale="59" orientation="portrait" r:id="rId1"/>
  <colBreaks count="1" manualBreakCount="1">
    <brk id="1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8BEA-C762-4F7A-989D-39B38953E4F9}">
  <sheetPr>
    <tabColor rgb="FF00B050"/>
    <pageSetUpPr fitToPage="1"/>
  </sheetPr>
  <dimension ref="B1:Z105"/>
  <sheetViews>
    <sheetView showOutlineSymbols="0" view="pageBreakPreview" topLeftCell="A18" zoomScale="80" zoomScaleNormal="100" zoomScaleSheetLayoutView="80" workbookViewId="0">
      <selection activeCell="D32" sqref="D32"/>
    </sheetView>
  </sheetViews>
  <sheetFormatPr defaultColWidth="9" defaultRowHeight="16.149999999999999"/>
  <cols>
    <col min="1" max="1" width="7.125" style="1" customWidth="1"/>
    <col min="2" max="2" width="10.75" style="1" customWidth="1"/>
    <col min="3" max="3" width="24.25" style="1" customWidth="1"/>
    <col min="4" max="4" width="25.875" style="1" bestFit="1" customWidth="1"/>
    <col min="5" max="5" width="6.375" style="1" customWidth="1"/>
    <col min="6" max="6" width="61.75" style="1" customWidth="1"/>
    <col min="7" max="7" width="8.25" style="1" customWidth="1"/>
    <col min="8" max="15" width="10.75" style="1" customWidth="1"/>
    <col min="16" max="17" width="9" style="1"/>
    <col min="18" max="18" width="10.75" style="1" bestFit="1" customWidth="1"/>
    <col min="19" max="20" width="10.5" style="1" customWidth="1"/>
    <col min="21" max="16384" width="9" style="1"/>
  </cols>
  <sheetData>
    <row r="1" spans="2:26">
      <c r="G1" s="2" t="s">
        <v>0</v>
      </c>
    </row>
    <row r="2" spans="2:26" ht="19.899999999999999">
      <c r="B2" s="54" t="s">
        <v>1</v>
      </c>
      <c r="C2" s="54"/>
      <c r="D2" s="54"/>
      <c r="E2" s="54"/>
      <c r="F2" s="54"/>
    </row>
    <row r="4" spans="2:26">
      <c r="B4" s="1" t="s">
        <v>2</v>
      </c>
    </row>
    <row r="5" spans="2:26">
      <c r="F5" s="3" t="s">
        <v>3</v>
      </c>
    </row>
    <row r="7" spans="2:26">
      <c r="B7" s="1" t="s">
        <v>4</v>
      </c>
    </row>
    <row r="9" spans="2:26">
      <c r="B9" s="4" t="s">
        <v>5</v>
      </c>
      <c r="C9" s="19">
        <v>46017</v>
      </c>
      <c r="D9" s="4"/>
    </row>
    <row r="10" spans="2:26">
      <c r="B10" s="4" t="s">
        <v>6</v>
      </c>
      <c r="C10" s="19">
        <v>46053</v>
      </c>
      <c r="D10" s="4"/>
    </row>
    <row r="13" spans="2:26" ht="18">
      <c r="B13" s="1" t="s">
        <v>7</v>
      </c>
      <c r="O13"/>
      <c r="P13"/>
      <c r="Q13"/>
      <c r="R13"/>
      <c r="S13"/>
      <c r="T13"/>
      <c r="U13"/>
      <c r="V13"/>
      <c r="W13"/>
      <c r="X13"/>
      <c r="Y13"/>
      <c r="Z13"/>
    </row>
    <row r="14" spans="2:26" ht="18">
      <c r="B14" s="55" t="s">
        <v>8</v>
      </c>
      <c r="C14" s="55"/>
      <c r="D14" s="55"/>
      <c r="E14" s="55"/>
      <c r="F14" s="5" t="s">
        <v>9</v>
      </c>
      <c r="O14"/>
      <c r="P14"/>
      <c r="Q14"/>
      <c r="R14"/>
      <c r="S14"/>
      <c r="T14"/>
      <c r="U14"/>
      <c r="V14"/>
      <c r="W14"/>
      <c r="X14"/>
      <c r="Y14"/>
      <c r="Z14"/>
    </row>
    <row r="15" spans="2:26" ht="18">
      <c r="B15" s="56" t="s">
        <v>10</v>
      </c>
      <c r="C15" s="6" t="s">
        <v>11</v>
      </c>
      <c r="D15" s="14" t="s">
        <v>79</v>
      </c>
      <c r="E15" s="7" t="s">
        <v>13</v>
      </c>
      <c r="F15" s="4"/>
      <c r="O15"/>
      <c r="P15"/>
      <c r="Q15"/>
      <c r="R15"/>
      <c r="S15"/>
      <c r="T15"/>
      <c r="U15"/>
      <c r="V15"/>
      <c r="W15"/>
      <c r="X15"/>
      <c r="Y15"/>
      <c r="Z15"/>
    </row>
    <row r="16" spans="2:26" ht="18">
      <c r="B16" s="57"/>
      <c r="C16" s="6" t="s">
        <v>14</v>
      </c>
      <c r="D16" s="15" t="s">
        <v>80</v>
      </c>
      <c r="E16" s="7" t="s">
        <v>13</v>
      </c>
      <c r="F16" s="4"/>
      <c r="O16"/>
      <c r="P16"/>
      <c r="Q16"/>
      <c r="R16"/>
      <c r="S16"/>
      <c r="T16"/>
      <c r="U16"/>
      <c r="V16"/>
      <c r="W16"/>
      <c r="X16"/>
      <c r="Y16"/>
      <c r="Z16"/>
    </row>
    <row r="17" spans="2:26" ht="18">
      <c r="B17" s="57"/>
      <c r="C17" s="6" t="s">
        <v>16</v>
      </c>
      <c r="D17" s="15">
        <v>43.022849999999998</v>
      </c>
      <c r="E17" s="8" t="s">
        <v>17</v>
      </c>
      <c r="F17" s="4" t="s">
        <v>18</v>
      </c>
      <c r="O17"/>
      <c r="P17"/>
      <c r="Q17"/>
      <c r="R17"/>
      <c r="S17"/>
      <c r="T17"/>
      <c r="U17"/>
      <c r="V17"/>
      <c r="W17"/>
      <c r="X17"/>
      <c r="Y17"/>
      <c r="Z17"/>
    </row>
    <row r="18" spans="2:26" ht="18">
      <c r="B18" s="57"/>
      <c r="C18" s="6" t="s">
        <v>19</v>
      </c>
      <c r="D18" s="15">
        <v>144.29899</v>
      </c>
      <c r="E18" s="8" t="s">
        <v>17</v>
      </c>
      <c r="F18" s="4" t="s">
        <v>20</v>
      </c>
      <c r="O18"/>
      <c r="P18"/>
      <c r="Q18"/>
      <c r="R18"/>
      <c r="S18"/>
      <c r="T18"/>
      <c r="U18"/>
      <c r="V18"/>
      <c r="W18"/>
      <c r="X18"/>
      <c r="Y18"/>
      <c r="Z18"/>
    </row>
    <row r="19" spans="2:26" ht="18">
      <c r="B19" s="57"/>
      <c r="C19" s="6" t="s">
        <v>21</v>
      </c>
      <c r="D19" s="27">
        <v>42153</v>
      </c>
      <c r="E19" s="7" t="s">
        <v>22</v>
      </c>
      <c r="F19" s="4" t="s">
        <v>23</v>
      </c>
      <c r="O19"/>
      <c r="P19"/>
      <c r="Q19"/>
      <c r="R19"/>
      <c r="S19"/>
      <c r="T19"/>
      <c r="U19"/>
      <c r="V19"/>
      <c r="W19"/>
      <c r="X19"/>
      <c r="Y19"/>
      <c r="Z19"/>
    </row>
    <row r="20" spans="2:26" ht="18">
      <c r="B20" s="58"/>
      <c r="C20" s="6" t="s">
        <v>24</v>
      </c>
      <c r="D20" s="20">
        <v>6801900</v>
      </c>
      <c r="E20" s="18" t="s">
        <v>25</v>
      </c>
      <c r="F20" s="4"/>
      <c r="O20"/>
      <c r="P20"/>
      <c r="Q20"/>
      <c r="R20"/>
      <c r="S20"/>
      <c r="T20"/>
      <c r="U20"/>
      <c r="V20"/>
      <c r="W20"/>
      <c r="X20"/>
      <c r="Y20"/>
      <c r="Z20"/>
    </row>
    <row r="21" spans="2:26" ht="18">
      <c r="B21" s="56" t="s">
        <v>26</v>
      </c>
      <c r="C21" s="6" t="s">
        <v>27</v>
      </c>
      <c r="D21" s="21" t="s">
        <v>28</v>
      </c>
      <c r="E21" s="7" t="s">
        <v>13</v>
      </c>
      <c r="F21" s="4" t="s">
        <v>29</v>
      </c>
      <c r="O21"/>
      <c r="P21"/>
      <c r="Q21"/>
      <c r="R21"/>
      <c r="S21"/>
      <c r="T21"/>
      <c r="U21"/>
      <c r="V21"/>
      <c r="W21"/>
      <c r="X21"/>
      <c r="Y21"/>
      <c r="Z21"/>
    </row>
    <row r="22" spans="2:26" ht="18">
      <c r="B22" s="57"/>
      <c r="C22" s="9" t="s">
        <v>30</v>
      </c>
      <c r="D22" s="21">
        <v>30</v>
      </c>
      <c r="E22" s="8" t="s">
        <v>31</v>
      </c>
      <c r="F22" s="4" t="s">
        <v>32</v>
      </c>
      <c r="O22"/>
      <c r="P22"/>
      <c r="Q22"/>
      <c r="R22"/>
      <c r="S22"/>
      <c r="T22"/>
      <c r="U22"/>
      <c r="V22"/>
      <c r="W22"/>
      <c r="X22"/>
      <c r="Y22"/>
      <c r="Z22"/>
    </row>
    <row r="23" spans="2:26" ht="18">
      <c r="B23" s="57"/>
      <c r="C23" s="9" t="s">
        <v>33</v>
      </c>
      <c r="D23" s="22">
        <v>2</v>
      </c>
      <c r="E23" s="8" t="s">
        <v>34</v>
      </c>
      <c r="F23" s="4" t="s">
        <v>32</v>
      </c>
      <c r="O23"/>
      <c r="P23"/>
      <c r="Q23"/>
      <c r="R23"/>
      <c r="S23"/>
      <c r="T23"/>
      <c r="U23"/>
      <c r="V23"/>
      <c r="W23"/>
      <c r="X23"/>
      <c r="Y23"/>
      <c r="Z23"/>
    </row>
    <row r="24" spans="2:26" ht="18">
      <c r="B24" s="57"/>
      <c r="C24" s="9" t="s">
        <v>35</v>
      </c>
      <c r="D24" s="22">
        <v>1</v>
      </c>
      <c r="E24" s="8" t="s">
        <v>34</v>
      </c>
      <c r="F24" s="4" t="s">
        <v>32</v>
      </c>
      <c r="O24"/>
      <c r="P24"/>
      <c r="Q24"/>
      <c r="R24"/>
      <c r="S24"/>
      <c r="T24"/>
      <c r="U24"/>
      <c r="V24"/>
      <c r="W24"/>
      <c r="X24"/>
      <c r="Y24"/>
      <c r="Z24"/>
    </row>
    <row r="25" spans="2:26" ht="18">
      <c r="B25" s="58"/>
      <c r="C25" s="9" t="s">
        <v>36</v>
      </c>
      <c r="D25" s="63">
        <f>3.982*COS(RADIANS(30))</f>
        <v>3.4485131578696353</v>
      </c>
      <c r="E25" s="8" t="s">
        <v>37</v>
      </c>
      <c r="F25" s="4" t="s">
        <v>32</v>
      </c>
      <c r="O25"/>
      <c r="P25"/>
      <c r="Q25"/>
      <c r="R25"/>
      <c r="S25"/>
      <c r="T25"/>
      <c r="U25"/>
      <c r="V25"/>
      <c r="W25"/>
      <c r="X25"/>
      <c r="Y25"/>
      <c r="Z25"/>
    </row>
    <row r="26" spans="2:26" ht="18">
      <c r="B26" s="56" t="s">
        <v>38</v>
      </c>
      <c r="C26" s="9" t="s">
        <v>39</v>
      </c>
      <c r="D26" s="23" t="s">
        <v>40</v>
      </c>
      <c r="E26" s="7" t="s">
        <v>13</v>
      </c>
      <c r="F26" s="4" t="s">
        <v>41</v>
      </c>
      <c r="O26"/>
      <c r="P26"/>
      <c r="Q26"/>
      <c r="R26"/>
      <c r="S26"/>
      <c r="T26"/>
      <c r="U26"/>
      <c r="V26"/>
      <c r="W26"/>
      <c r="X26"/>
      <c r="Y26"/>
      <c r="Z26"/>
    </row>
    <row r="27" spans="2:26" ht="18">
      <c r="B27" s="57"/>
      <c r="C27" s="9" t="s">
        <v>42</v>
      </c>
      <c r="D27" s="24">
        <v>30</v>
      </c>
      <c r="E27" s="8" t="s">
        <v>43</v>
      </c>
      <c r="F27" s="4" t="s">
        <v>44</v>
      </c>
      <c r="O27"/>
      <c r="P27"/>
      <c r="Q27"/>
      <c r="R27"/>
      <c r="S27"/>
      <c r="T27"/>
      <c r="U27"/>
      <c r="V27"/>
      <c r="W27"/>
      <c r="X27"/>
      <c r="Y27"/>
      <c r="Z27"/>
    </row>
    <row r="28" spans="2:26" ht="18">
      <c r="B28" s="57"/>
      <c r="C28" s="9" t="s">
        <v>45</v>
      </c>
      <c r="D28" s="24" t="s">
        <v>46</v>
      </c>
      <c r="E28" s="7" t="s">
        <v>13</v>
      </c>
      <c r="F28" s="4" t="s">
        <v>47</v>
      </c>
      <c r="O28"/>
      <c r="P28"/>
      <c r="Q28"/>
      <c r="R28"/>
      <c r="S28"/>
      <c r="T28"/>
      <c r="U28"/>
      <c r="V28"/>
      <c r="W28"/>
      <c r="X28"/>
      <c r="Y28"/>
      <c r="Z28"/>
    </row>
    <row r="29" spans="2:26" ht="18">
      <c r="B29" s="57"/>
      <c r="C29" s="9" t="s">
        <v>48</v>
      </c>
      <c r="D29" s="24" t="s">
        <v>49</v>
      </c>
      <c r="E29" s="7" t="s">
        <v>13</v>
      </c>
      <c r="F29" s="4" t="s">
        <v>44</v>
      </c>
      <c r="O29"/>
      <c r="P29"/>
      <c r="Q29"/>
      <c r="R29"/>
      <c r="S29"/>
      <c r="T29"/>
      <c r="U29"/>
      <c r="V29"/>
      <c r="W29"/>
      <c r="X29"/>
      <c r="Y29"/>
      <c r="Z29"/>
    </row>
    <row r="30" spans="2:26" ht="18">
      <c r="B30" s="57"/>
      <c r="C30" s="9" t="s">
        <v>50</v>
      </c>
      <c r="D30" s="24">
        <v>70</v>
      </c>
      <c r="E30" s="8" t="s">
        <v>51</v>
      </c>
      <c r="F30" s="4" t="s">
        <v>52</v>
      </c>
      <c r="O30"/>
      <c r="P30"/>
      <c r="Q30"/>
      <c r="R30"/>
      <c r="S30"/>
      <c r="T30"/>
      <c r="U30"/>
      <c r="V30"/>
      <c r="W30"/>
      <c r="X30"/>
      <c r="Y30"/>
      <c r="Z30"/>
    </row>
    <row r="31" spans="2:26" ht="18">
      <c r="B31" s="57"/>
      <c r="C31" s="9" t="s">
        <v>53</v>
      </c>
      <c r="D31" s="23" t="s">
        <v>49</v>
      </c>
      <c r="E31" s="7" t="s">
        <v>13</v>
      </c>
      <c r="F31" s="4" t="s">
        <v>44</v>
      </c>
      <c r="O31"/>
      <c r="P31"/>
      <c r="Q31"/>
      <c r="R31"/>
      <c r="S31"/>
      <c r="T31"/>
      <c r="U31"/>
      <c r="V31"/>
      <c r="W31"/>
      <c r="X31"/>
      <c r="Y31"/>
      <c r="Z31"/>
    </row>
    <row r="32" spans="2:26" ht="18">
      <c r="B32" s="57"/>
      <c r="C32" s="9" t="s">
        <v>54</v>
      </c>
      <c r="D32" s="23">
        <v>0.84</v>
      </c>
      <c r="E32" s="7" t="s">
        <v>13</v>
      </c>
      <c r="F32" s="4" t="s">
        <v>44</v>
      </c>
      <c r="O32"/>
      <c r="P32"/>
      <c r="Q32"/>
      <c r="R32"/>
      <c r="S32"/>
      <c r="T32"/>
      <c r="U32"/>
      <c r="V32"/>
      <c r="W32"/>
      <c r="X32"/>
      <c r="Y32"/>
      <c r="Z32"/>
    </row>
    <row r="33" spans="2:26" ht="18">
      <c r="B33" s="57"/>
      <c r="C33" s="9" t="s">
        <v>55</v>
      </c>
      <c r="D33" s="23" t="s">
        <v>49</v>
      </c>
      <c r="E33" s="8" t="s">
        <v>56</v>
      </c>
      <c r="F33" s="4" t="s">
        <v>44</v>
      </c>
      <c r="O33"/>
      <c r="P33"/>
      <c r="Q33"/>
      <c r="R33"/>
      <c r="S33"/>
      <c r="T33"/>
      <c r="U33"/>
      <c r="V33"/>
      <c r="W33"/>
      <c r="X33"/>
      <c r="Y33"/>
      <c r="Z33"/>
    </row>
    <row r="34" spans="2:26" ht="18">
      <c r="B34" s="58"/>
      <c r="C34" s="9" t="s">
        <v>57</v>
      </c>
      <c r="D34" s="23">
        <v>5400</v>
      </c>
      <c r="E34" s="8" t="s">
        <v>56</v>
      </c>
      <c r="F34" s="4" t="s">
        <v>44</v>
      </c>
      <c r="O34"/>
      <c r="P34"/>
      <c r="Q34"/>
      <c r="R34"/>
      <c r="S34"/>
      <c r="T34"/>
      <c r="U34"/>
      <c r="V34"/>
      <c r="W34"/>
      <c r="X34"/>
      <c r="Y34"/>
      <c r="Z34"/>
    </row>
    <row r="35" spans="2:26" ht="18">
      <c r="B35" s="52" t="s">
        <v>58</v>
      </c>
      <c r="C35" s="9" t="s">
        <v>59</v>
      </c>
      <c r="D35" s="25">
        <v>0.12</v>
      </c>
      <c r="E35" s="7" t="s">
        <v>13</v>
      </c>
      <c r="F35" s="4" t="s">
        <v>44</v>
      </c>
      <c r="O35"/>
      <c r="P35"/>
      <c r="Q35"/>
      <c r="R35"/>
      <c r="S35"/>
      <c r="T35"/>
      <c r="U35"/>
      <c r="V35"/>
      <c r="W35"/>
      <c r="X35"/>
      <c r="Y35"/>
      <c r="Z35"/>
    </row>
    <row r="36" spans="2:26" ht="18">
      <c r="B36" s="53"/>
      <c r="C36" s="9" t="s">
        <v>60</v>
      </c>
      <c r="D36" s="25">
        <v>0.73</v>
      </c>
      <c r="E36" s="7" t="s">
        <v>13</v>
      </c>
      <c r="F36" s="4" t="s">
        <v>44</v>
      </c>
      <c r="O36"/>
      <c r="P36"/>
      <c r="Q36"/>
      <c r="R36"/>
      <c r="S36"/>
      <c r="T36"/>
      <c r="U36"/>
      <c r="V36"/>
      <c r="W36"/>
      <c r="X36"/>
      <c r="Y36"/>
      <c r="Z36"/>
    </row>
    <row r="37" spans="2:26" ht="18">
      <c r="B37" s="59" t="s">
        <v>61</v>
      </c>
      <c r="C37" s="10" t="s">
        <v>62</v>
      </c>
      <c r="D37" s="26"/>
      <c r="E37" s="11" t="s">
        <v>63</v>
      </c>
      <c r="F37" s="4" t="s">
        <v>64</v>
      </c>
      <c r="O37"/>
      <c r="P37"/>
      <c r="Q37"/>
      <c r="R37"/>
      <c r="S37"/>
      <c r="T37"/>
      <c r="U37"/>
      <c r="V37"/>
      <c r="W37"/>
      <c r="X37"/>
      <c r="Y37"/>
      <c r="Z37"/>
    </row>
    <row r="38" spans="2:26" ht="18">
      <c r="B38" s="60"/>
      <c r="C38" s="10" t="s">
        <v>65</v>
      </c>
      <c r="D38" s="26"/>
      <c r="E38" s="11" t="s">
        <v>63</v>
      </c>
      <c r="F38" s="4" t="s">
        <v>66</v>
      </c>
      <c r="O38"/>
      <c r="P38"/>
      <c r="Q38"/>
      <c r="R38"/>
      <c r="S38"/>
      <c r="T38"/>
      <c r="U38"/>
      <c r="V38"/>
      <c r="W38"/>
      <c r="X38"/>
      <c r="Y38"/>
      <c r="Z38"/>
    </row>
    <row r="39" spans="2:26" ht="18">
      <c r="B39" s="60"/>
      <c r="C39" s="10" t="s">
        <v>67</v>
      </c>
      <c r="D39" s="26"/>
      <c r="E39" s="11" t="s">
        <v>63</v>
      </c>
      <c r="F39" s="4" t="s">
        <v>68</v>
      </c>
      <c r="O39"/>
      <c r="P39"/>
      <c r="Q39"/>
      <c r="R39"/>
      <c r="S39"/>
      <c r="T39"/>
      <c r="U39"/>
      <c r="V39"/>
      <c r="W39"/>
      <c r="X39"/>
      <c r="Y39"/>
      <c r="Z39"/>
    </row>
    <row r="40" spans="2:26" ht="18">
      <c r="B40" s="61"/>
      <c r="C40" s="10" t="s">
        <v>69</v>
      </c>
      <c r="D40" s="26"/>
      <c r="E40" s="11" t="s">
        <v>63</v>
      </c>
      <c r="F40" s="4" t="s">
        <v>70</v>
      </c>
      <c r="O40"/>
      <c r="P40"/>
      <c r="Q40"/>
      <c r="R40"/>
      <c r="S40"/>
      <c r="T40"/>
      <c r="U40"/>
      <c r="V40"/>
      <c r="W40"/>
      <c r="X40"/>
      <c r="Y40"/>
      <c r="Z40"/>
    </row>
    <row r="41" spans="2:26" ht="18">
      <c r="C41" s="12" t="s">
        <v>71</v>
      </c>
      <c r="D41"/>
      <c r="E41"/>
      <c r="F41"/>
      <c r="O41"/>
      <c r="P41"/>
      <c r="Q41"/>
      <c r="R41"/>
      <c r="S41"/>
      <c r="T41"/>
      <c r="U41"/>
      <c r="V41"/>
      <c r="W41"/>
      <c r="X41"/>
      <c r="Y41"/>
      <c r="Z41"/>
    </row>
    <row r="42" spans="2:26" ht="18">
      <c r="O42"/>
      <c r="P42"/>
      <c r="Q42"/>
      <c r="R42"/>
      <c r="S42"/>
      <c r="T42"/>
      <c r="U42"/>
      <c r="V42"/>
      <c r="W42"/>
      <c r="X42"/>
      <c r="Y42"/>
      <c r="Z42"/>
    </row>
    <row r="43" spans="2:26" ht="18">
      <c r="G43" s="2" t="s">
        <v>0</v>
      </c>
      <c r="O43"/>
      <c r="P43"/>
      <c r="Q43"/>
      <c r="R43"/>
      <c r="S43"/>
      <c r="T43"/>
      <c r="U43"/>
      <c r="V43"/>
      <c r="W43"/>
      <c r="X43"/>
      <c r="Y43"/>
      <c r="Z43"/>
    </row>
    <row r="44" spans="2:26" ht="19.899999999999999">
      <c r="B44" s="54" t="s">
        <v>72</v>
      </c>
      <c r="C44" s="54"/>
      <c r="D44" s="54"/>
      <c r="E44" s="54"/>
      <c r="F44" s="54"/>
      <c r="O44"/>
      <c r="P44"/>
      <c r="Q44"/>
      <c r="R44"/>
      <c r="S44"/>
      <c r="T44"/>
      <c r="U44"/>
      <c r="V44"/>
      <c r="W44"/>
      <c r="X44"/>
      <c r="Y44"/>
      <c r="Z44"/>
    </row>
    <row r="45" spans="2:26" ht="18">
      <c r="O45"/>
      <c r="P45"/>
      <c r="Q45"/>
      <c r="R45"/>
      <c r="S45"/>
      <c r="T45"/>
      <c r="U45"/>
      <c r="V45"/>
      <c r="W45"/>
      <c r="X45"/>
      <c r="Y45"/>
      <c r="Z45"/>
    </row>
    <row r="46" spans="2:26" ht="18">
      <c r="B46" s="1" t="s">
        <v>2</v>
      </c>
      <c r="O46"/>
      <c r="P46"/>
      <c r="Q46"/>
      <c r="R46"/>
      <c r="S46"/>
      <c r="T46"/>
      <c r="U46"/>
      <c r="V46"/>
      <c r="W46"/>
      <c r="X46"/>
      <c r="Y46"/>
      <c r="Z46"/>
    </row>
    <row r="47" spans="2:26" ht="18">
      <c r="F47" s="3" t="str">
        <f>F5</f>
        <v>スパークス・グリーンエナジー＆テクノロジー株式会社</v>
      </c>
      <c r="O47"/>
      <c r="P47"/>
      <c r="Q47"/>
      <c r="R47"/>
      <c r="S47"/>
      <c r="T47"/>
      <c r="U47"/>
      <c r="V47"/>
      <c r="W47"/>
      <c r="X47"/>
      <c r="Y47"/>
      <c r="Z47"/>
    </row>
    <row r="48" spans="2:26" ht="18">
      <c r="O48"/>
      <c r="P48"/>
      <c r="Q48"/>
      <c r="R48"/>
      <c r="S48"/>
      <c r="T48"/>
      <c r="U48"/>
      <c r="V48"/>
      <c r="W48"/>
      <c r="X48"/>
      <c r="Y48"/>
      <c r="Z48"/>
    </row>
    <row r="49" spans="2:26" ht="18">
      <c r="B49" s="1" t="s">
        <v>4</v>
      </c>
      <c r="O49"/>
      <c r="P49"/>
      <c r="Q49"/>
      <c r="R49"/>
      <c r="S49"/>
      <c r="T49"/>
      <c r="U49"/>
      <c r="V49"/>
      <c r="W49"/>
      <c r="X49"/>
      <c r="Y49"/>
      <c r="Z49"/>
    </row>
    <row r="50" spans="2:26" ht="12" customHeight="1">
      <c r="O50"/>
      <c r="P50"/>
      <c r="Q50"/>
      <c r="R50"/>
      <c r="S50"/>
      <c r="T50"/>
      <c r="U50"/>
      <c r="V50"/>
      <c r="W50"/>
      <c r="X50"/>
      <c r="Y50"/>
      <c r="Z50"/>
    </row>
    <row r="51" spans="2:26" ht="18">
      <c r="B51" s="4" t="s">
        <v>5</v>
      </c>
      <c r="C51" s="19">
        <f>C9</f>
        <v>46017</v>
      </c>
      <c r="D51" s="4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2:26" ht="18">
      <c r="B52" s="4" t="s">
        <v>6</v>
      </c>
      <c r="C52" s="19">
        <f>C10</f>
        <v>46053</v>
      </c>
      <c r="D52" s="4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2:26" ht="18">
      <c r="P53"/>
      <c r="Q53"/>
      <c r="R53"/>
      <c r="S53"/>
      <c r="T53"/>
      <c r="U53"/>
      <c r="V53"/>
    </row>
    <row r="54" spans="2:26" ht="18">
      <c r="P54"/>
      <c r="Q54"/>
      <c r="R54"/>
      <c r="S54"/>
      <c r="T54"/>
      <c r="U54"/>
      <c r="V54"/>
    </row>
    <row r="55" spans="2:26" ht="18">
      <c r="B55" s="1" t="s">
        <v>7</v>
      </c>
      <c r="P55"/>
      <c r="Q55"/>
      <c r="R55"/>
      <c r="S55"/>
      <c r="T55"/>
      <c r="U55"/>
      <c r="V55"/>
    </row>
    <row r="56" spans="2:26" ht="18">
      <c r="B56" s="55" t="s">
        <v>8</v>
      </c>
      <c r="C56" s="55"/>
      <c r="D56" s="55"/>
      <c r="E56" s="55"/>
      <c r="F56" s="5" t="s">
        <v>9</v>
      </c>
      <c r="P56"/>
      <c r="Q56"/>
      <c r="R56"/>
      <c r="S56"/>
      <c r="T56"/>
      <c r="U56"/>
      <c r="V56"/>
    </row>
    <row r="57" spans="2:26" ht="18">
      <c r="B57" s="56" t="s">
        <v>10</v>
      </c>
      <c r="C57" s="6" t="s">
        <v>11</v>
      </c>
      <c r="D57" s="14" t="str">
        <f>D15</f>
        <v>SGET釧路メガソーラー発電所</v>
      </c>
      <c r="E57" s="7" t="s">
        <v>13</v>
      </c>
      <c r="F57" s="4"/>
      <c r="P57"/>
      <c r="Q57"/>
      <c r="R57"/>
      <c r="S57"/>
      <c r="T57"/>
      <c r="U57"/>
      <c r="V57"/>
    </row>
    <row r="58" spans="2:26" ht="18">
      <c r="B58" s="57"/>
      <c r="C58" s="6" t="s">
        <v>14</v>
      </c>
      <c r="D58" s="15" t="str">
        <f>D16</f>
        <v>北海道釧路市鶴野58-4</v>
      </c>
      <c r="E58" s="7" t="s">
        <v>13</v>
      </c>
      <c r="F58" s="4"/>
      <c r="P58"/>
      <c r="Q58"/>
      <c r="R58"/>
      <c r="S58"/>
      <c r="T58"/>
      <c r="U58"/>
      <c r="V58"/>
    </row>
    <row r="59" spans="2:26" ht="18">
      <c r="B59" s="57"/>
      <c r="C59" s="6" t="s">
        <v>16</v>
      </c>
      <c r="D59" s="15">
        <f>D17</f>
        <v>43.022849999999998</v>
      </c>
      <c r="E59" s="8" t="s">
        <v>17</v>
      </c>
      <c r="F59" s="4" t="s">
        <v>18</v>
      </c>
      <c r="P59"/>
      <c r="Q59"/>
      <c r="R59"/>
      <c r="S59"/>
      <c r="T59"/>
      <c r="U59"/>
      <c r="V59"/>
    </row>
    <row r="60" spans="2:26" ht="18">
      <c r="B60" s="57"/>
      <c r="C60" s="6" t="s">
        <v>19</v>
      </c>
      <c r="D60" s="15">
        <f>D18</f>
        <v>144.29899</v>
      </c>
      <c r="E60" s="8" t="s">
        <v>17</v>
      </c>
      <c r="F60" s="4" t="s">
        <v>20</v>
      </c>
      <c r="P60"/>
      <c r="Q60"/>
      <c r="R60"/>
      <c r="S60"/>
      <c r="T60"/>
      <c r="U60"/>
      <c r="V60"/>
    </row>
    <row r="61" spans="2:26" ht="18">
      <c r="B61" s="58"/>
      <c r="C61" s="6" t="s">
        <v>24</v>
      </c>
      <c r="D61" s="16">
        <f>D20</f>
        <v>6801900</v>
      </c>
      <c r="E61" s="18" t="s">
        <v>25</v>
      </c>
      <c r="F61" s="4"/>
      <c r="P61"/>
      <c r="Q61"/>
      <c r="R61"/>
      <c r="S61"/>
      <c r="T61"/>
      <c r="U61"/>
      <c r="V61"/>
    </row>
    <row r="62" spans="2:26" ht="18">
      <c r="B62" s="59" t="s">
        <v>61</v>
      </c>
      <c r="C62" s="10" t="s">
        <v>62</v>
      </c>
      <c r="D62" s="17"/>
      <c r="E62" s="11" t="s">
        <v>63</v>
      </c>
      <c r="F62" s="4" t="s">
        <v>64</v>
      </c>
      <c r="P62"/>
      <c r="Q62"/>
      <c r="R62"/>
      <c r="S62"/>
      <c r="T62"/>
      <c r="U62"/>
      <c r="V62"/>
    </row>
    <row r="63" spans="2:26">
      <c r="B63" s="60"/>
      <c r="C63" s="10" t="s">
        <v>65</v>
      </c>
      <c r="D63" s="17"/>
      <c r="E63" s="11" t="s">
        <v>63</v>
      </c>
      <c r="F63" s="4" t="s">
        <v>66</v>
      </c>
    </row>
    <row r="64" spans="2:26">
      <c r="B64" s="60"/>
      <c r="C64" s="10" t="s">
        <v>67</v>
      </c>
      <c r="D64" s="17"/>
      <c r="E64" s="11" t="s">
        <v>63</v>
      </c>
      <c r="F64" s="4" t="s">
        <v>68</v>
      </c>
    </row>
    <row r="65" spans="2:9">
      <c r="B65" s="61"/>
      <c r="C65" s="10" t="s">
        <v>69</v>
      </c>
      <c r="D65" s="17"/>
      <c r="E65" s="11" t="s">
        <v>63</v>
      </c>
      <c r="F65" s="4" t="s">
        <v>70</v>
      </c>
    </row>
    <row r="66" spans="2:9" ht="18">
      <c r="C66" s="12"/>
      <c r="D66"/>
      <c r="E66"/>
      <c r="F66"/>
    </row>
    <row r="68" spans="2:9" ht="18">
      <c r="B68"/>
      <c r="C68"/>
      <c r="D68"/>
      <c r="E68"/>
      <c r="F68"/>
      <c r="H68"/>
      <c r="I68"/>
    </row>
    <row r="69" spans="2:9" ht="18">
      <c r="B69"/>
      <c r="C69"/>
      <c r="D69"/>
      <c r="E69"/>
      <c r="F69"/>
      <c r="H69"/>
      <c r="I69"/>
    </row>
    <row r="70" spans="2:9" ht="18">
      <c r="C70"/>
      <c r="D70"/>
      <c r="E70"/>
      <c r="F70"/>
      <c r="G70" s="13"/>
      <c r="H70"/>
      <c r="I70"/>
    </row>
    <row r="71" spans="2:9" ht="18">
      <c r="C71"/>
      <c r="D71"/>
      <c r="E71"/>
      <c r="F71"/>
      <c r="G71" s="13"/>
      <c r="H71"/>
      <c r="I71"/>
    </row>
    <row r="72" spans="2:9" ht="18">
      <c r="C72"/>
      <c r="D72"/>
      <c r="E72"/>
      <c r="F72"/>
      <c r="G72" s="13"/>
      <c r="H72"/>
      <c r="I72"/>
    </row>
    <row r="73" spans="2:9" ht="18">
      <c r="C73"/>
      <c r="D73"/>
      <c r="E73"/>
      <c r="F73"/>
      <c r="G73" s="13"/>
      <c r="H73"/>
      <c r="I73"/>
    </row>
    <row r="74" spans="2:9" ht="18">
      <c r="C74"/>
      <c r="D74"/>
      <c r="E74"/>
      <c r="F74"/>
      <c r="G74" s="13"/>
      <c r="H74"/>
      <c r="I74"/>
    </row>
    <row r="75" spans="2:9" ht="18">
      <c r="C75"/>
      <c r="D75"/>
      <c r="E75"/>
      <c r="F75"/>
      <c r="G75" s="13"/>
      <c r="H75"/>
      <c r="I75"/>
    </row>
    <row r="76" spans="2:9" ht="18">
      <c r="C76"/>
      <c r="D76"/>
      <c r="E76"/>
      <c r="F76"/>
    </row>
    <row r="77" spans="2:9" ht="18">
      <c r="C77"/>
      <c r="D77"/>
      <c r="E77"/>
      <c r="F77"/>
    </row>
    <row r="78" spans="2:9" ht="18">
      <c r="C78"/>
      <c r="D78"/>
      <c r="E78"/>
      <c r="F78"/>
    </row>
    <row r="79" spans="2:9" ht="18">
      <c r="C79"/>
      <c r="D79"/>
      <c r="E79"/>
      <c r="F79"/>
    </row>
    <row r="80" spans="2:9" ht="18">
      <c r="C80"/>
      <c r="D80"/>
      <c r="E80"/>
      <c r="F80"/>
    </row>
    <row r="81" spans="2:6" ht="18">
      <c r="C81"/>
      <c r="D81"/>
      <c r="E81"/>
      <c r="F81"/>
    </row>
    <row r="82" spans="2:6" ht="18">
      <c r="C82"/>
      <c r="D82"/>
      <c r="E82"/>
      <c r="F82"/>
    </row>
    <row r="83" spans="2:6" ht="18">
      <c r="C83"/>
      <c r="D83"/>
      <c r="E83"/>
      <c r="F83"/>
    </row>
    <row r="84" spans="2:6" ht="18">
      <c r="C84"/>
      <c r="D84"/>
      <c r="E84"/>
      <c r="F84"/>
    </row>
    <row r="85" spans="2:6" ht="18">
      <c r="C85"/>
      <c r="D85"/>
      <c r="E85"/>
      <c r="F85"/>
    </row>
    <row r="86" spans="2:6" ht="18">
      <c r="C86"/>
      <c r="D86"/>
      <c r="E86"/>
      <c r="F86"/>
    </row>
    <row r="87" spans="2:6" ht="18">
      <c r="C87"/>
      <c r="D87"/>
      <c r="E87"/>
      <c r="F87"/>
    </row>
    <row r="88" spans="2:6" ht="18">
      <c r="C88"/>
      <c r="D88"/>
      <c r="E88"/>
      <c r="F88"/>
    </row>
    <row r="89" spans="2:6" ht="18">
      <c r="C89"/>
      <c r="D89"/>
      <c r="E89"/>
      <c r="F89"/>
    </row>
    <row r="90" spans="2:6" ht="18">
      <c r="C90"/>
      <c r="D90"/>
      <c r="E90"/>
      <c r="F90"/>
    </row>
    <row r="91" spans="2:6" ht="18">
      <c r="C91"/>
      <c r="D91"/>
      <c r="E91"/>
      <c r="F91"/>
    </row>
    <row r="92" spans="2:6" ht="18">
      <c r="C92"/>
      <c r="D92"/>
      <c r="E92"/>
      <c r="F92"/>
    </row>
    <row r="93" spans="2:6" ht="18">
      <c r="C93"/>
      <c r="D93"/>
      <c r="E93"/>
      <c r="F93"/>
    </row>
    <row r="94" spans="2:6" ht="18">
      <c r="C94"/>
      <c r="D94"/>
      <c r="E94"/>
      <c r="F94"/>
    </row>
    <row r="95" spans="2:6" ht="18">
      <c r="C95"/>
      <c r="D95"/>
      <c r="E95"/>
      <c r="F95"/>
    </row>
    <row r="96" spans="2:6" ht="18">
      <c r="B96"/>
      <c r="C96"/>
      <c r="D96"/>
      <c r="E96"/>
      <c r="F96"/>
    </row>
    <row r="97" spans="2:6" ht="13.5" customHeight="1">
      <c r="B97"/>
      <c r="C97"/>
      <c r="D97"/>
      <c r="E97"/>
      <c r="F97"/>
    </row>
    <row r="98" spans="2:6" ht="18">
      <c r="B98"/>
      <c r="C98"/>
      <c r="D98"/>
      <c r="E98"/>
      <c r="F98"/>
    </row>
    <row r="99" spans="2:6" ht="18">
      <c r="B99"/>
      <c r="C99"/>
      <c r="D99"/>
      <c r="E99"/>
      <c r="F99"/>
    </row>
    <row r="100" spans="2:6" ht="18">
      <c r="B100"/>
      <c r="C100"/>
      <c r="D100"/>
      <c r="E100"/>
      <c r="F100"/>
    </row>
    <row r="101" spans="2:6" ht="18">
      <c r="B101"/>
      <c r="C101"/>
      <c r="D101"/>
      <c r="E101"/>
      <c r="F101"/>
    </row>
    <row r="102" spans="2:6" ht="18">
      <c r="B102"/>
      <c r="C102"/>
      <c r="D102"/>
      <c r="E102"/>
      <c r="F102"/>
    </row>
    <row r="103" spans="2:6" ht="18">
      <c r="B103"/>
      <c r="C103"/>
      <c r="D103"/>
      <c r="E103"/>
      <c r="F103"/>
    </row>
    <row r="104" spans="2:6" ht="18">
      <c r="B104"/>
      <c r="C104"/>
      <c r="D104"/>
      <c r="E104"/>
      <c r="F104"/>
    </row>
    <row r="105" spans="2:6" ht="18">
      <c r="B105"/>
      <c r="C105"/>
      <c r="D105"/>
      <c r="E105"/>
      <c r="F105"/>
    </row>
  </sheetData>
  <mergeCells count="11">
    <mergeCell ref="B37:B40"/>
    <mergeCell ref="B44:F44"/>
    <mergeCell ref="B56:E56"/>
    <mergeCell ref="B57:B61"/>
    <mergeCell ref="B62:B65"/>
    <mergeCell ref="B35:B36"/>
    <mergeCell ref="B2:F2"/>
    <mergeCell ref="B14:E14"/>
    <mergeCell ref="B15:B20"/>
    <mergeCell ref="B21:B25"/>
    <mergeCell ref="B26:B34"/>
  </mergeCells>
  <phoneticPr fontId="3"/>
  <dataValidations count="3">
    <dataValidation type="list" allowBlank="1" showInputMessage="1" showErrorMessage="1" sqref="D28" xr:uid="{0062F219-DC4D-49D3-BF38-741BB854D3F1}">
      <formula1>"Ⅰ,Ⅱ,Ⅲ,Ⅳ"</formula1>
    </dataValidation>
    <dataValidation type="list" allowBlank="1" showInputMessage="1" showErrorMessage="1" sqref="D21" xr:uid="{FBEC7FDB-B099-4E0B-8F33-38C5DD6EF67A}">
      <formula1>"極めて重要,通常"</formula1>
    </dataValidation>
    <dataValidation type="list" allowBlank="1" showInputMessage="1" showErrorMessage="1" sqref="D26" xr:uid="{5A535F61-9117-423F-A5E6-6A0D1FE14C61}">
      <formula1>"JIS-C8955(2004年版),JIS-C8955(2017年版),NEDOガイドライン(2019年版)"</formula1>
    </dataValidation>
  </dataValidations>
  <pageMargins left="0.25" right="0.25" top="0.75" bottom="0.75" header="0.3" footer="0.3"/>
  <pageSetup paperSize="9" scale="59" orientation="portrait" r:id="rId1"/>
  <colBreaks count="1" manualBreakCount="1">
    <brk id="1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8162-D070-442D-81AD-A40781A815B9}">
  <sheetPr>
    <tabColor rgb="FF00B050"/>
    <pageSetUpPr fitToPage="1"/>
  </sheetPr>
  <dimension ref="B1:Z105"/>
  <sheetViews>
    <sheetView showOutlineSymbols="0" view="pageBreakPreview" topLeftCell="A17" zoomScale="80" zoomScaleNormal="100" zoomScaleSheetLayoutView="80" workbookViewId="0">
      <selection activeCell="D25" sqref="D25"/>
    </sheetView>
  </sheetViews>
  <sheetFormatPr defaultColWidth="9" defaultRowHeight="16.149999999999999"/>
  <cols>
    <col min="1" max="1" width="7.125" style="1" customWidth="1"/>
    <col min="2" max="2" width="10.75" style="1" customWidth="1"/>
    <col min="3" max="3" width="24.25" style="1" customWidth="1"/>
    <col min="4" max="4" width="25.875" style="1" bestFit="1" customWidth="1"/>
    <col min="5" max="5" width="6.375" style="1" customWidth="1"/>
    <col min="6" max="6" width="61.75" style="1" customWidth="1"/>
    <col min="7" max="7" width="8.25" style="1" customWidth="1"/>
    <col min="8" max="15" width="10.75" style="1" customWidth="1"/>
    <col min="16" max="17" width="9" style="1"/>
    <col min="18" max="18" width="10.75" style="1" bestFit="1" customWidth="1"/>
    <col min="19" max="20" width="10.5" style="1" customWidth="1"/>
    <col min="21" max="16384" width="9" style="1"/>
  </cols>
  <sheetData>
    <row r="1" spans="2:26">
      <c r="G1" s="2" t="s">
        <v>0</v>
      </c>
    </row>
    <row r="2" spans="2:26" ht="19.899999999999999">
      <c r="B2" s="54" t="s">
        <v>1</v>
      </c>
      <c r="C2" s="54"/>
      <c r="D2" s="54"/>
      <c r="E2" s="54"/>
      <c r="F2" s="54"/>
    </row>
    <row r="4" spans="2:26">
      <c r="B4" s="1" t="s">
        <v>2</v>
      </c>
    </row>
    <row r="5" spans="2:26">
      <c r="F5" s="3" t="s">
        <v>3</v>
      </c>
    </row>
    <row r="7" spans="2:26">
      <c r="B7" s="1" t="s">
        <v>4</v>
      </c>
    </row>
    <row r="9" spans="2:26">
      <c r="B9" s="4" t="s">
        <v>5</v>
      </c>
      <c r="C9" s="19">
        <v>46017</v>
      </c>
      <c r="D9" s="4"/>
    </row>
    <row r="10" spans="2:26">
      <c r="B10" s="4" t="s">
        <v>6</v>
      </c>
      <c r="C10" s="19">
        <v>46053</v>
      </c>
      <c r="D10" s="4"/>
    </row>
    <row r="13" spans="2:26" ht="18">
      <c r="B13" s="1" t="s">
        <v>7</v>
      </c>
      <c r="O13"/>
      <c r="P13"/>
      <c r="Q13"/>
      <c r="R13"/>
      <c r="S13"/>
      <c r="T13"/>
      <c r="U13"/>
      <c r="V13"/>
      <c r="W13"/>
      <c r="X13"/>
      <c r="Y13"/>
      <c r="Z13"/>
    </row>
    <row r="14" spans="2:26" ht="18">
      <c r="B14" s="55" t="s">
        <v>8</v>
      </c>
      <c r="C14" s="55"/>
      <c r="D14" s="55"/>
      <c r="E14" s="55"/>
      <c r="F14" s="5" t="s">
        <v>9</v>
      </c>
      <c r="O14"/>
      <c r="P14"/>
      <c r="Q14"/>
      <c r="R14"/>
      <c r="S14"/>
      <c r="T14"/>
      <c r="U14"/>
      <c r="V14"/>
      <c r="W14"/>
      <c r="X14"/>
      <c r="Y14"/>
      <c r="Z14"/>
    </row>
    <row r="15" spans="2:26" ht="18">
      <c r="B15" s="56" t="s">
        <v>10</v>
      </c>
      <c r="C15" s="6" t="s">
        <v>11</v>
      </c>
      <c r="D15" s="14" t="s">
        <v>81</v>
      </c>
      <c r="E15" s="7" t="s">
        <v>13</v>
      </c>
      <c r="F15" s="4"/>
      <c r="O15"/>
      <c r="P15"/>
      <c r="Q15"/>
      <c r="R15"/>
      <c r="S15"/>
      <c r="T15"/>
      <c r="U15"/>
      <c r="V15"/>
      <c r="W15"/>
      <c r="X15"/>
      <c r="Y15"/>
      <c r="Z15"/>
    </row>
    <row r="16" spans="2:26" ht="18">
      <c r="B16" s="57"/>
      <c r="C16" s="6" t="s">
        <v>14</v>
      </c>
      <c r="D16" s="15" t="s">
        <v>82</v>
      </c>
      <c r="E16" s="7" t="s">
        <v>13</v>
      </c>
      <c r="F16" s="4"/>
      <c r="O16"/>
      <c r="P16"/>
      <c r="Q16"/>
      <c r="R16"/>
      <c r="S16"/>
      <c r="T16"/>
      <c r="U16"/>
      <c r="V16"/>
      <c r="W16"/>
      <c r="X16"/>
      <c r="Y16"/>
      <c r="Z16"/>
    </row>
    <row r="17" spans="2:26" ht="18">
      <c r="B17" s="57"/>
      <c r="C17" s="6" t="s">
        <v>16</v>
      </c>
      <c r="D17" s="15">
        <v>36.354410000000001</v>
      </c>
      <c r="E17" s="8" t="s">
        <v>17</v>
      </c>
      <c r="F17" s="4" t="s">
        <v>18</v>
      </c>
      <c r="O17"/>
      <c r="P17"/>
      <c r="Q17"/>
      <c r="R17"/>
      <c r="S17"/>
      <c r="T17"/>
      <c r="U17"/>
      <c r="V17"/>
      <c r="W17"/>
      <c r="X17"/>
      <c r="Y17"/>
      <c r="Z17"/>
    </row>
    <row r="18" spans="2:26" ht="18">
      <c r="B18" s="57"/>
      <c r="C18" s="6" t="s">
        <v>19</v>
      </c>
      <c r="D18" s="15">
        <v>140.20119</v>
      </c>
      <c r="E18" s="8" t="s">
        <v>17</v>
      </c>
      <c r="F18" s="4" t="s">
        <v>20</v>
      </c>
      <c r="O18"/>
      <c r="P18"/>
      <c r="Q18"/>
      <c r="R18"/>
      <c r="S18"/>
      <c r="T18"/>
      <c r="U18"/>
      <c r="V18"/>
      <c r="W18"/>
      <c r="X18"/>
      <c r="Y18"/>
      <c r="Z18"/>
    </row>
    <row r="19" spans="2:26" ht="18">
      <c r="B19" s="57"/>
      <c r="C19" s="6" t="s">
        <v>21</v>
      </c>
      <c r="D19" s="27">
        <v>42582</v>
      </c>
      <c r="E19" s="7" t="s">
        <v>22</v>
      </c>
      <c r="F19" s="4" t="s">
        <v>23</v>
      </c>
      <c r="O19"/>
      <c r="P19"/>
      <c r="Q19"/>
      <c r="R19"/>
      <c r="S19"/>
      <c r="T19"/>
      <c r="U19"/>
      <c r="V19"/>
      <c r="W19"/>
      <c r="X19"/>
      <c r="Y19"/>
      <c r="Z19"/>
    </row>
    <row r="20" spans="2:26" ht="18">
      <c r="B20" s="58"/>
      <c r="C20" s="6" t="s">
        <v>24</v>
      </c>
      <c r="D20" s="20">
        <v>5886955</v>
      </c>
      <c r="E20" s="18" t="s">
        <v>25</v>
      </c>
      <c r="F20" s="4"/>
      <c r="O20"/>
      <c r="P20"/>
      <c r="Q20"/>
      <c r="R20"/>
      <c r="S20"/>
      <c r="T20"/>
      <c r="U20"/>
      <c r="V20"/>
      <c r="W20"/>
      <c r="X20"/>
      <c r="Y20"/>
      <c r="Z20"/>
    </row>
    <row r="21" spans="2:26" ht="18">
      <c r="B21" s="56" t="s">
        <v>26</v>
      </c>
      <c r="C21" s="6" t="s">
        <v>27</v>
      </c>
      <c r="D21" s="21" t="s">
        <v>28</v>
      </c>
      <c r="E21" s="7" t="s">
        <v>13</v>
      </c>
      <c r="F21" s="4" t="s">
        <v>29</v>
      </c>
      <c r="O21"/>
      <c r="P21"/>
      <c r="Q21"/>
      <c r="R21"/>
      <c r="S21"/>
      <c r="T21"/>
      <c r="U21"/>
      <c r="V21"/>
      <c r="W21"/>
      <c r="X21"/>
      <c r="Y21"/>
      <c r="Z21"/>
    </row>
    <row r="22" spans="2:26" ht="18">
      <c r="B22" s="57"/>
      <c r="C22" s="9" t="s">
        <v>30</v>
      </c>
      <c r="D22" s="21">
        <v>10</v>
      </c>
      <c r="E22" s="8" t="s">
        <v>31</v>
      </c>
      <c r="F22" s="4" t="s">
        <v>32</v>
      </c>
      <c r="O22"/>
      <c r="P22"/>
      <c r="Q22"/>
      <c r="R22"/>
      <c r="S22"/>
      <c r="T22"/>
      <c r="U22"/>
      <c r="V22"/>
      <c r="W22"/>
      <c r="X22"/>
      <c r="Y22"/>
      <c r="Z22"/>
    </row>
    <row r="23" spans="2:26" ht="18">
      <c r="B23" s="57"/>
      <c r="C23" s="9" t="s">
        <v>33</v>
      </c>
      <c r="D23" s="22">
        <f>(1.291-0.5)/2+0.5</f>
        <v>0.89549999999999996</v>
      </c>
      <c r="E23" s="8" t="s">
        <v>34</v>
      </c>
      <c r="F23" s="4" t="s">
        <v>32</v>
      </c>
      <c r="O23"/>
      <c r="P23"/>
      <c r="Q23"/>
      <c r="R23"/>
      <c r="S23"/>
      <c r="T23"/>
      <c r="U23"/>
      <c r="V23"/>
      <c r="W23"/>
      <c r="X23"/>
      <c r="Y23"/>
      <c r="Z23"/>
    </row>
    <row r="24" spans="2:26" ht="18">
      <c r="B24" s="57"/>
      <c r="C24" s="9" t="s">
        <v>35</v>
      </c>
      <c r="D24" s="22">
        <v>0.5</v>
      </c>
      <c r="E24" s="8" t="s">
        <v>34</v>
      </c>
      <c r="F24" s="4" t="s">
        <v>32</v>
      </c>
      <c r="O24"/>
      <c r="P24"/>
      <c r="Q24"/>
      <c r="R24"/>
      <c r="S24"/>
      <c r="T24"/>
      <c r="U24"/>
      <c r="V24"/>
      <c r="W24"/>
      <c r="X24"/>
      <c r="Y24"/>
      <c r="Z24"/>
    </row>
    <row r="25" spans="2:26" ht="18">
      <c r="B25" s="58"/>
      <c r="C25" s="9" t="s">
        <v>36</v>
      </c>
      <c r="D25" s="63">
        <v>3.93</v>
      </c>
      <c r="E25" s="8" t="s">
        <v>37</v>
      </c>
      <c r="F25" s="4" t="s">
        <v>32</v>
      </c>
      <c r="O25"/>
      <c r="P25"/>
      <c r="Q25"/>
      <c r="R25"/>
      <c r="S25"/>
      <c r="T25"/>
      <c r="U25"/>
      <c r="V25"/>
      <c r="W25"/>
      <c r="X25"/>
      <c r="Y25"/>
      <c r="Z25"/>
    </row>
    <row r="26" spans="2:26" ht="18">
      <c r="B26" s="56" t="s">
        <v>38</v>
      </c>
      <c r="C26" s="9" t="s">
        <v>39</v>
      </c>
      <c r="D26" s="23" t="s">
        <v>40</v>
      </c>
      <c r="E26" s="7" t="s">
        <v>13</v>
      </c>
      <c r="F26" s="4" t="s">
        <v>41</v>
      </c>
      <c r="O26"/>
      <c r="P26"/>
      <c r="Q26"/>
      <c r="R26"/>
      <c r="S26"/>
      <c r="T26"/>
      <c r="U26"/>
      <c r="V26"/>
      <c r="W26"/>
      <c r="X26"/>
      <c r="Y26"/>
      <c r="Z26"/>
    </row>
    <row r="27" spans="2:26" ht="18">
      <c r="B27" s="57"/>
      <c r="C27" s="9" t="s">
        <v>42</v>
      </c>
      <c r="D27" s="24">
        <v>30</v>
      </c>
      <c r="E27" s="8" t="s">
        <v>43</v>
      </c>
      <c r="F27" s="4" t="s">
        <v>44</v>
      </c>
      <c r="O27"/>
      <c r="P27"/>
      <c r="Q27"/>
      <c r="R27"/>
      <c r="S27"/>
      <c r="T27"/>
      <c r="U27"/>
      <c r="V27"/>
      <c r="W27"/>
      <c r="X27"/>
      <c r="Y27"/>
      <c r="Z27"/>
    </row>
    <row r="28" spans="2:26" ht="18">
      <c r="B28" s="57"/>
      <c r="C28" s="9" t="s">
        <v>45</v>
      </c>
      <c r="D28" s="24" t="s">
        <v>46</v>
      </c>
      <c r="E28" s="7" t="s">
        <v>13</v>
      </c>
      <c r="F28" s="4" t="s">
        <v>47</v>
      </c>
      <c r="O28"/>
      <c r="P28"/>
      <c r="Q28"/>
      <c r="R28"/>
      <c r="S28"/>
      <c r="T28"/>
      <c r="U28"/>
      <c r="V28"/>
      <c r="W28"/>
      <c r="X28"/>
      <c r="Y28"/>
      <c r="Z28"/>
    </row>
    <row r="29" spans="2:26" ht="18">
      <c r="B29" s="57"/>
      <c r="C29" s="9" t="s">
        <v>48</v>
      </c>
      <c r="D29" s="24" t="s">
        <v>49</v>
      </c>
      <c r="E29" s="7" t="s">
        <v>13</v>
      </c>
      <c r="F29" s="4" t="s">
        <v>44</v>
      </c>
      <c r="O29"/>
      <c r="P29"/>
      <c r="Q29"/>
      <c r="R29"/>
      <c r="S29"/>
      <c r="T29"/>
      <c r="U29"/>
      <c r="V29"/>
      <c r="W29"/>
      <c r="X29"/>
      <c r="Y29"/>
      <c r="Z29"/>
    </row>
    <row r="30" spans="2:26" ht="18">
      <c r="B30" s="57"/>
      <c r="C30" s="9" t="s">
        <v>50</v>
      </c>
      <c r="D30" s="24">
        <v>40</v>
      </c>
      <c r="E30" s="8" t="s">
        <v>51</v>
      </c>
      <c r="F30" s="4" t="s">
        <v>52</v>
      </c>
      <c r="O30"/>
      <c r="P30"/>
      <c r="Q30"/>
      <c r="R30"/>
      <c r="S30"/>
      <c r="T30"/>
      <c r="U30"/>
      <c r="V30"/>
      <c r="W30"/>
      <c r="X30"/>
      <c r="Y30"/>
      <c r="Z30"/>
    </row>
    <row r="31" spans="2:26" ht="18">
      <c r="B31" s="57"/>
      <c r="C31" s="9" t="s">
        <v>53</v>
      </c>
      <c r="D31" s="23" t="s">
        <v>49</v>
      </c>
      <c r="E31" s="7" t="s">
        <v>13</v>
      </c>
      <c r="F31" s="4" t="s">
        <v>44</v>
      </c>
      <c r="O31"/>
      <c r="P31"/>
      <c r="Q31"/>
      <c r="R31"/>
      <c r="S31"/>
      <c r="T31"/>
      <c r="U31"/>
      <c r="V31"/>
      <c r="W31"/>
      <c r="X31"/>
      <c r="Y31"/>
      <c r="Z31"/>
    </row>
    <row r="32" spans="2:26" ht="18">
      <c r="B32" s="57"/>
      <c r="C32" s="9" t="s">
        <v>54</v>
      </c>
      <c r="D32" s="23">
        <v>0.98299999999999998</v>
      </c>
      <c r="E32" s="7" t="s">
        <v>13</v>
      </c>
      <c r="F32" s="4" t="s">
        <v>44</v>
      </c>
      <c r="O32"/>
      <c r="P32"/>
      <c r="Q32"/>
      <c r="R32"/>
      <c r="S32"/>
      <c r="T32"/>
      <c r="U32"/>
      <c r="V32"/>
      <c r="W32"/>
      <c r="X32"/>
      <c r="Y32"/>
      <c r="Z32"/>
    </row>
    <row r="33" spans="2:26" ht="18">
      <c r="B33" s="57"/>
      <c r="C33" s="9" t="s">
        <v>55</v>
      </c>
      <c r="D33" s="23" t="s">
        <v>49</v>
      </c>
      <c r="E33" s="8" t="s">
        <v>56</v>
      </c>
      <c r="F33" s="4" t="s">
        <v>44</v>
      </c>
      <c r="O33"/>
      <c r="P33"/>
      <c r="Q33"/>
      <c r="R33"/>
      <c r="S33"/>
      <c r="T33"/>
      <c r="U33"/>
      <c r="V33"/>
      <c r="W33"/>
      <c r="X33"/>
      <c r="Y33"/>
      <c r="Z33"/>
    </row>
    <row r="34" spans="2:26" ht="18">
      <c r="B34" s="58"/>
      <c r="C34" s="9" t="s">
        <v>57</v>
      </c>
      <c r="D34" s="23">
        <v>5400</v>
      </c>
      <c r="E34" s="8" t="s">
        <v>56</v>
      </c>
      <c r="F34" s="4" t="s">
        <v>44</v>
      </c>
      <c r="O34"/>
      <c r="P34"/>
      <c r="Q34"/>
      <c r="R34"/>
      <c r="S34"/>
      <c r="T34"/>
      <c r="U34"/>
      <c r="V34"/>
      <c r="W34"/>
      <c r="X34"/>
      <c r="Y34"/>
      <c r="Z34"/>
    </row>
    <row r="35" spans="2:26" ht="18">
      <c r="B35" s="52" t="s">
        <v>58</v>
      </c>
      <c r="C35" s="9" t="s">
        <v>59</v>
      </c>
      <c r="D35" s="32"/>
      <c r="E35" s="7" t="s">
        <v>13</v>
      </c>
      <c r="F35" s="4" t="s">
        <v>44</v>
      </c>
      <c r="O35"/>
      <c r="P35"/>
      <c r="Q35"/>
      <c r="R35"/>
      <c r="S35"/>
      <c r="T35"/>
      <c r="U35"/>
      <c r="V35"/>
      <c r="W35"/>
      <c r="X35"/>
      <c r="Y35"/>
      <c r="Z35"/>
    </row>
    <row r="36" spans="2:26" ht="18">
      <c r="B36" s="53"/>
      <c r="C36" s="9" t="s">
        <v>60</v>
      </c>
      <c r="D36" s="25">
        <v>0.59499999999999997</v>
      </c>
      <c r="E36" s="7" t="s">
        <v>13</v>
      </c>
      <c r="F36" s="4" t="s">
        <v>44</v>
      </c>
      <c r="O36"/>
      <c r="P36"/>
      <c r="Q36"/>
      <c r="R36"/>
      <c r="S36"/>
      <c r="T36"/>
      <c r="U36"/>
      <c r="V36"/>
      <c r="W36"/>
      <c r="X36"/>
      <c r="Y36"/>
      <c r="Z36"/>
    </row>
    <row r="37" spans="2:26" ht="18">
      <c r="B37" s="59" t="s">
        <v>61</v>
      </c>
      <c r="C37" s="10" t="s">
        <v>62</v>
      </c>
      <c r="D37" s="26"/>
      <c r="E37" s="11" t="s">
        <v>63</v>
      </c>
      <c r="F37" s="4" t="s">
        <v>64</v>
      </c>
      <c r="O37"/>
      <c r="P37"/>
      <c r="Q37"/>
      <c r="R37"/>
      <c r="S37"/>
      <c r="T37"/>
      <c r="U37"/>
      <c r="V37"/>
      <c r="W37"/>
      <c r="X37"/>
      <c r="Y37"/>
      <c r="Z37"/>
    </row>
    <row r="38" spans="2:26" ht="18">
      <c r="B38" s="60"/>
      <c r="C38" s="10" t="s">
        <v>65</v>
      </c>
      <c r="D38" s="26"/>
      <c r="E38" s="11" t="s">
        <v>63</v>
      </c>
      <c r="F38" s="4" t="s">
        <v>66</v>
      </c>
      <c r="O38"/>
      <c r="P38"/>
      <c r="Q38"/>
      <c r="R38"/>
      <c r="S38"/>
      <c r="T38"/>
      <c r="U38"/>
      <c r="V38"/>
      <c r="W38"/>
      <c r="X38"/>
      <c r="Y38"/>
      <c r="Z38"/>
    </row>
    <row r="39" spans="2:26" ht="18">
      <c r="B39" s="60"/>
      <c r="C39" s="10" t="s">
        <v>67</v>
      </c>
      <c r="D39" s="26"/>
      <c r="E39" s="11" t="s">
        <v>63</v>
      </c>
      <c r="F39" s="4" t="s">
        <v>68</v>
      </c>
      <c r="O39"/>
      <c r="P39"/>
      <c r="Q39"/>
      <c r="R39"/>
      <c r="S39"/>
      <c r="T39"/>
      <c r="U39"/>
      <c r="V39"/>
      <c r="W39"/>
      <c r="X39"/>
      <c r="Y39"/>
      <c r="Z39"/>
    </row>
    <row r="40" spans="2:26" ht="18">
      <c r="B40" s="61"/>
      <c r="C40" s="10" t="s">
        <v>69</v>
      </c>
      <c r="D40" s="26"/>
      <c r="E40" s="11" t="s">
        <v>63</v>
      </c>
      <c r="F40" s="4" t="s">
        <v>70</v>
      </c>
      <c r="O40"/>
      <c r="P40"/>
      <c r="Q40"/>
      <c r="R40"/>
      <c r="S40"/>
      <c r="T40"/>
      <c r="U40"/>
      <c r="V40"/>
      <c r="W40"/>
      <c r="X40"/>
      <c r="Y40"/>
      <c r="Z40"/>
    </row>
    <row r="41" spans="2:26" ht="18">
      <c r="C41" s="12" t="s">
        <v>71</v>
      </c>
      <c r="D41"/>
      <c r="E41"/>
      <c r="F41"/>
      <c r="O41"/>
      <c r="P41"/>
      <c r="Q41"/>
      <c r="R41"/>
      <c r="S41"/>
      <c r="T41"/>
      <c r="U41"/>
      <c r="V41"/>
      <c r="W41"/>
      <c r="X41"/>
      <c r="Y41"/>
      <c r="Z41"/>
    </row>
    <row r="42" spans="2:26" ht="18">
      <c r="O42"/>
      <c r="P42"/>
      <c r="Q42"/>
      <c r="R42"/>
      <c r="S42"/>
      <c r="T42"/>
      <c r="U42"/>
      <c r="V42"/>
      <c r="W42"/>
      <c r="X42"/>
      <c r="Y42"/>
      <c r="Z42"/>
    </row>
    <row r="43" spans="2:26" ht="18">
      <c r="G43" s="2" t="s">
        <v>0</v>
      </c>
      <c r="O43"/>
      <c r="P43"/>
      <c r="Q43"/>
      <c r="R43"/>
      <c r="S43"/>
      <c r="T43"/>
      <c r="U43"/>
      <c r="V43"/>
      <c r="W43"/>
      <c r="X43"/>
      <c r="Y43"/>
      <c r="Z43"/>
    </row>
    <row r="44" spans="2:26" ht="19.899999999999999">
      <c r="B44" s="54" t="s">
        <v>72</v>
      </c>
      <c r="C44" s="54"/>
      <c r="D44" s="54"/>
      <c r="E44" s="54"/>
      <c r="F44" s="54"/>
      <c r="O44"/>
      <c r="P44"/>
      <c r="Q44"/>
      <c r="R44"/>
      <c r="S44"/>
      <c r="T44"/>
      <c r="U44"/>
      <c r="V44"/>
      <c r="W44"/>
      <c r="X44"/>
      <c r="Y44"/>
      <c r="Z44"/>
    </row>
    <row r="45" spans="2:26" ht="18">
      <c r="O45"/>
      <c r="P45"/>
      <c r="Q45"/>
      <c r="R45"/>
      <c r="S45"/>
      <c r="T45"/>
      <c r="U45"/>
      <c r="V45"/>
      <c r="W45"/>
      <c r="X45"/>
      <c r="Y45"/>
      <c r="Z45"/>
    </row>
    <row r="46" spans="2:26" ht="18">
      <c r="B46" s="1" t="s">
        <v>2</v>
      </c>
      <c r="O46"/>
      <c r="P46"/>
      <c r="Q46"/>
      <c r="R46"/>
      <c r="S46"/>
      <c r="T46"/>
      <c r="U46"/>
      <c r="V46"/>
      <c r="W46"/>
      <c r="X46"/>
      <c r="Y46"/>
      <c r="Z46"/>
    </row>
    <row r="47" spans="2:26" ht="18">
      <c r="F47" s="3" t="str">
        <f>F5</f>
        <v>スパークス・グリーンエナジー＆テクノロジー株式会社</v>
      </c>
      <c r="O47"/>
      <c r="P47"/>
      <c r="Q47"/>
      <c r="R47"/>
      <c r="S47"/>
      <c r="T47"/>
      <c r="U47"/>
      <c r="V47"/>
      <c r="W47"/>
      <c r="X47"/>
      <c r="Y47"/>
      <c r="Z47"/>
    </row>
    <row r="48" spans="2:26" ht="18">
      <c r="O48"/>
      <c r="P48"/>
      <c r="Q48"/>
      <c r="R48"/>
      <c r="S48"/>
      <c r="T48"/>
      <c r="U48"/>
      <c r="V48"/>
      <c r="W48"/>
      <c r="X48"/>
      <c r="Y48"/>
      <c r="Z48"/>
    </row>
    <row r="49" spans="2:26" ht="18">
      <c r="B49" s="1" t="s">
        <v>4</v>
      </c>
      <c r="O49"/>
      <c r="P49"/>
      <c r="Q49"/>
      <c r="R49"/>
      <c r="S49"/>
      <c r="T49"/>
      <c r="U49"/>
      <c r="V49"/>
      <c r="W49"/>
      <c r="X49"/>
      <c r="Y49"/>
      <c r="Z49"/>
    </row>
    <row r="50" spans="2:26" ht="12" customHeight="1">
      <c r="O50"/>
      <c r="P50"/>
      <c r="Q50"/>
      <c r="R50"/>
      <c r="S50"/>
      <c r="T50"/>
      <c r="U50"/>
      <c r="V50"/>
      <c r="W50"/>
      <c r="X50"/>
      <c r="Y50"/>
      <c r="Z50"/>
    </row>
    <row r="51" spans="2:26" ht="18">
      <c r="B51" s="4" t="s">
        <v>5</v>
      </c>
      <c r="C51" s="19">
        <f>C9</f>
        <v>46017</v>
      </c>
      <c r="D51" s="4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2:26" ht="18">
      <c r="B52" s="4" t="s">
        <v>6</v>
      </c>
      <c r="C52" s="19">
        <f>C10</f>
        <v>46053</v>
      </c>
      <c r="D52" s="4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2:26" ht="18">
      <c r="P53"/>
      <c r="Q53"/>
      <c r="R53"/>
      <c r="S53"/>
      <c r="T53"/>
      <c r="U53"/>
      <c r="V53"/>
    </row>
    <row r="54" spans="2:26" ht="18">
      <c r="P54"/>
      <c r="Q54"/>
      <c r="R54"/>
      <c r="S54"/>
      <c r="T54"/>
      <c r="U54"/>
      <c r="V54"/>
    </row>
    <row r="55" spans="2:26" ht="18">
      <c r="B55" s="1" t="s">
        <v>7</v>
      </c>
      <c r="P55"/>
      <c r="Q55"/>
      <c r="R55"/>
      <c r="S55"/>
      <c r="T55"/>
      <c r="U55"/>
      <c r="V55"/>
    </row>
    <row r="56" spans="2:26" ht="18">
      <c r="B56" s="55" t="s">
        <v>8</v>
      </c>
      <c r="C56" s="55"/>
      <c r="D56" s="55"/>
      <c r="E56" s="55"/>
      <c r="F56" s="5" t="s">
        <v>9</v>
      </c>
      <c r="P56"/>
      <c r="Q56"/>
      <c r="R56"/>
      <c r="S56"/>
      <c r="T56"/>
      <c r="U56"/>
      <c r="V56"/>
    </row>
    <row r="57" spans="2:26" ht="18">
      <c r="B57" s="56" t="s">
        <v>10</v>
      </c>
      <c r="C57" s="6" t="s">
        <v>11</v>
      </c>
      <c r="D57" s="14" t="str">
        <f>D15</f>
        <v>SGET常陸大宮メガソーラー発電所</v>
      </c>
      <c r="E57" s="7" t="s">
        <v>13</v>
      </c>
      <c r="F57" s="4"/>
      <c r="P57"/>
      <c r="Q57"/>
      <c r="R57"/>
      <c r="S57"/>
      <c r="T57"/>
      <c r="U57"/>
      <c r="V57"/>
    </row>
    <row r="58" spans="2:26" ht="18">
      <c r="B58" s="57"/>
      <c r="C58" s="6" t="s">
        <v>14</v>
      </c>
      <c r="D58" s="15" t="str">
        <f>D16</f>
        <v>茨城県常陸大宮市上小瀬字白谷5372番47</v>
      </c>
      <c r="E58" s="7" t="s">
        <v>13</v>
      </c>
      <c r="F58" s="4"/>
      <c r="P58"/>
      <c r="Q58"/>
      <c r="R58"/>
      <c r="S58"/>
      <c r="T58"/>
      <c r="U58"/>
      <c r="V58"/>
    </row>
    <row r="59" spans="2:26" ht="18">
      <c r="B59" s="57"/>
      <c r="C59" s="6" t="s">
        <v>16</v>
      </c>
      <c r="D59" s="15">
        <f>D17</f>
        <v>36.354410000000001</v>
      </c>
      <c r="E59" s="8" t="s">
        <v>17</v>
      </c>
      <c r="F59" s="4" t="s">
        <v>18</v>
      </c>
      <c r="P59"/>
      <c r="Q59"/>
      <c r="R59"/>
      <c r="S59"/>
      <c r="T59"/>
      <c r="U59"/>
      <c r="V59"/>
    </row>
    <row r="60" spans="2:26" ht="18">
      <c r="B60" s="57"/>
      <c r="C60" s="6" t="s">
        <v>19</v>
      </c>
      <c r="D60" s="15">
        <f>D18</f>
        <v>140.20119</v>
      </c>
      <c r="E60" s="8" t="s">
        <v>17</v>
      </c>
      <c r="F60" s="4" t="s">
        <v>20</v>
      </c>
      <c r="P60"/>
      <c r="Q60"/>
      <c r="R60"/>
      <c r="S60"/>
      <c r="T60"/>
      <c r="U60"/>
      <c r="V60"/>
    </row>
    <row r="61" spans="2:26" ht="18">
      <c r="B61" s="58"/>
      <c r="C61" s="6" t="s">
        <v>24</v>
      </c>
      <c r="D61" s="16">
        <f>D20</f>
        <v>5886955</v>
      </c>
      <c r="E61" s="18" t="s">
        <v>25</v>
      </c>
      <c r="F61" s="4"/>
      <c r="P61"/>
      <c r="Q61"/>
      <c r="R61"/>
      <c r="S61"/>
      <c r="T61"/>
      <c r="U61"/>
      <c r="V61"/>
    </row>
    <row r="62" spans="2:26" ht="18">
      <c r="B62" s="59" t="s">
        <v>61</v>
      </c>
      <c r="C62" s="10" t="s">
        <v>62</v>
      </c>
      <c r="D62" s="17"/>
      <c r="E62" s="11" t="s">
        <v>63</v>
      </c>
      <c r="F62" s="4" t="s">
        <v>64</v>
      </c>
      <c r="P62"/>
      <c r="Q62"/>
      <c r="R62"/>
      <c r="S62"/>
      <c r="T62"/>
      <c r="U62"/>
      <c r="V62"/>
    </row>
    <row r="63" spans="2:26">
      <c r="B63" s="60"/>
      <c r="C63" s="10" t="s">
        <v>65</v>
      </c>
      <c r="D63" s="17"/>
      <c r="E63" s="11" t="s">
        <v>63</v>
      </c>
      <c r="F63" s="4" t="s">
        <v>66</v>
      </c>
    </row>
    <row r="64" spans="2:26">
      <c r="B64" s="60"/>
      <c r="C64" s="10" t="s">
        <v>67</v>
      </c>
      <c r="D64" s="17"/>
      <c r="E64" s="11" t="s">
        <v>63</v>
      </c>
      <c r="F64" s="4" t="s">
        <v>68</v>
      </c>
    </row>
    <row r="65" spans="2:9">
      <c r="B65" s="61"/>
      <c r="C65" s="10" t="s">
        <v>69</v>
      </c>
      <c r="D65" s="17"/>
      <c r="E65" s="11" t="s">
        <v>63</v>
      </c>
      <c r="F65" s="4" t="s">
        <v>70</v>
      </c>
    </row>
    <row r="66" spans="2:9" ht="18">
      <c r="C66" s="12"/>
      <c r="D66"/>
      <c r="E66"/>
      <c r="F66"/>
    </row>
    <row r="68" spans="2:9" ht="18">
      <c r="B68"/>
      <c r="C68"/>
      <c r="D68"/>
      <c r="E68"/>
      <c r="F68"/>
      <c r="H68"/>
      <c r="I68"/>
    </row>
    <row r="69" spans="2:9" ht="18">
      <c r="B69"/>
      <c r="C69"/>
      <c r="D69"/>
      <c r="E69"/>
      <c r="F69"/>
      <c r="H69"/>
      <c r="I69"/>
    </row>
    <row r="70" spans="2:9" ht="18">
      <c r="C70"/>
      <c r="D70"/>
      <c r="E70"/>
      <c r="F70"/>
      <c r="G70" s="13"/>
      <c r="H70"/>
      <c r="I70"/>
    </row>
    <row r="71" spans="2:9" ht="18">
      <c r="C71"/>
      <c r="D71"/>
      <c r="E71"/>
      <c r="F71"/>
      <c r="G71" s="13"/>
      <c r="H71"/>
      <c r="I71"/>
    </row>
    <row r="72" spans="2:9" ht="18">
      <c r="C72"/>
      <c r="D72"/>
      <c r="E72"/>
      <c r="F72"/>
      <c r="G72" s="13"/>
      <c r="H72"/>
      <c r="I72"/>
    </row>
    <row r="73" spans="2:9" ht="18">
      <c r="C73"/>
      <c r="D73"/>
      <c r="E73"/>
      <c r="F73"/>
      <c r="G73" s="13"/>
      <c r="H73"/>
      <c r="I73"/>
    </row>
    <row r="74" spans="2:9" ht="18">
      <c r="C74"/>
      <c r="D74"/>
      <c r="E74"/>
      <c r="F74"/>
      <c r="G74" s="13"/>
      <c r="H74"/>
      <c r="I74"/>
    </row>
    <row r="75" spans="2:9" ht="18">
      <c r="C75"/>
      <c r="D75"/>
      <c r="E75"/>
      <c r="F75"/>
      <c r="G75" s="13"/>
      <c r="H75"/>
      <c r="I75"/>
    </row>
    <row r="76" spans="2:9" ht="18">
      <c r="C76"/>
      <c r="D76"/>
      <c r="E76"/>
      <c r="F76"/>
    </row>
    <row r="77" spans="2:9" ht="18">
      <c r="C77"/>
      <c r="D77"/>
      <c r="E77"/>
      <c r="F77"/>
    </row>
    <row r="78" spans="2:9" ht="18">
      <c r="C78"/>
      <c r="D78"/>
      <c r="E78"/>
      <c r="F78"/>
    </row>
    <row r="79" spans="2:9" ht="18">
      <c r="C79"/>
      <c r="D79"/>
      <c r="E79"/>
      <c r="F79"/>
    </row>
    <row r="80" spans="2:9" ht="18">
      <c r="C80"/>
      <c r="D80"/>
      <c r="E80"/>
      <c r="F80"/>
    </row>
    <row r="81" spans="2:6" ht="18">
      <c r="C81"/>
      <c r="D81"/>
      <c r="E81"/>
      <c r="F81"/>
    </row>
    <row r="82" spans="2:6" ht="18">
      <c r="C82"/>
      <c r="D82"/>
      <c r="E82"/>
      <c r="F82"/>
    </row>
    <row r="83" spans="2:6" ht="18">
      <c r="C83"/>
      <c r="D83"/>
      <c r="E83"/>
      <c r="F83"/>
    </row>
    <row r="84" spans="2:6" ht="18">
      <c r="C84"/>
      <c r="D84"/>
      <c r="E84"/>
      <c r="F84"/>
    </row>
    <row r="85" spans="2:6" ht="18">
      <c r="C85"/>
      <c r="D85"/>
      <c r="E85"/>
      <c r="F85"/>
    </row>
    <row r="86" spans="2:6" ht="18">
      <c r="C86"/>
      <c r="D86"/>
      <c r="E86"/>
      <c r="F86"/>
    </row>
    <row r="87" spans="2:6" ht="18">
      <c r="C87"/>
      <c r="D87"/>
      <c r="E87"/>
      <c r="F87"/>
    </row>
    <row r="88" spans="2:6" ht="18">
      <c r="C88"/>
      <c r="D88"/>
      <c r="E88"/>
      <c r="F88"/>
    </row>
    <row r="89" spans="2:6" ht="18">
      <c r="C89"/>
      <c r="D89"/>
      <c r="E89"/>
      <c r="F89"/>
    </row>
    <row r="90" spans="2:6" ht="18">
      <c r="C90"/>
      <c r="D90"/>
      <c r="E90"/>
      <c r="F90"/>
    </row>
    <row r="91" spans="2:6" ht="18">
      <c r="C91"/>
      <c r="D91"/>
      <c r="E91"/>
      <c r="F91"/>
    </row>
    <row r="92" spans="2:6" ht="18">
      <c r="C92"/>
      <c r="D92"/>
      <c r="E92"/>
      <c r="F92"/>
    </row>
    <row r="93" spans="2:6" ht="18">
      <c r="C93"/>
      <c r="D93"/>
      <c r="E93"/>
      <c r="F93"/>
    </row>
    <row r="94" spans="2:6" ht="18">
      <c r="C94"/>
      <c r="D94"/>
      <c r="E94"/>
      <c r="F94"/>
    </row>
    <row r="95" spans="2:6" ht="18">
      <c r="C95"/>
      <c r="D95"/>
      <c r="E95"/>
      <c r="F95"/>
    </row>
    <row r="96" spans="2:6" ht="18">
      <c r="B96"/>
      <c r="C96"/>
      <c r="D96"/>
      <c r="E96"/>
      <c r="F96"/>
    </row>
    <row r="97" spans="2:6" ht="13.5" customHeight="1">
      <c r="B97"/>
      <c r="C97"/>
      <c r="D97"/>
      <c r="E97"/>
      <c r="F97"/>
    </row>
    <row r="98" spans="2:6" ht="18">
      <c r="B98"/>
      <c r="C98"/>
      <c r="D98"/>
      <c r="E98"/>
      <c r="F98"/>
    </row>
    <row r="99" spans="2:6" ht="18">
      <c r="B99"/>
      <c r="C99"/>
      <c r="D99"/>
      <c r="E99"/>
      <c r="F99"/>
    </row>
    <row r="100" spans="2:6" ht="18">
      <c r="B100"/>
      <c r="C100"/>
      <c r="D100"/>
      <c r="E100"/>
      <c r="F100"/>
    </row>
    <row r="101" spans="2:6" ht="18">
      <c r="B101"/>
      <c r="C101"/>
      <c r="D101"/>
      <c r="E101"/>
      <c r="F101"/>
    </row>
    <row r="102" spans="2:6" ht="18">
      <c r="B102"/>
      <c r="C102"/>
      <c r="D102"/>
      <c r="E102"/>
      <c r="F102"/>
    </row>
    <row r="103" spans="2:6" ht="18">
      <c r="B103"/>
      <c r="C103"/>
      <c r="D103"/>
      <c r="E103"/>
      <c r="F103"/>
    </row>
    <row r="104" spans="2:6" ht="18">
      <c r="B104"/>
      <c r="C104"/>
      <c r="D104"/>
      <c r="E104"/>
      <c r="F104"/>
    </row>
    <row r="105" spans="2:6" ht="18">
      <c r="B105"/>
      <c r="C105"/>
      <c r="D105"/>
      <c r="E105"/>
      <c r="F105"/>
    </row>
  </sheetData>
  <mergeCells count="11">
    <mergeCell ref="B37:B40"/>
    <mergeCell ref="B44:F44"/>
    <mergeCell ref="B56:E56"/>
    <mergeCell ref="B57:B61"/>
    <mergeCell ref="B62:B65"/>
    <mergeCell ref="B35:B36"/>
    <mergeCell ref="B2:F2"/>
    <mergeCell ref="B14:E14"/>
    <mergeCell ref="B15:B20"/>
    <mergeCell ref="B21:B25"/>
    <mergeCell ref="B26:B34"/>
  </mergeCells>
  <phoneticPr fontId="3"/>
  <dataValidations count="3">
    <dataValidation type="list" allowBlank="1" showInputMessage="1" showErrorMessage="1" sqref="D26" xr:uid="{2A10F40F-32C2-4752-A141-FBE9BCEC3A87}">
      <formula1>"JIS-C8955(2004年版),JIS-C8955(2017年版),NEDOガイドライン(2019年版)"</formula1>
    </dataValidation>
    <dataValidation type="list" allowBlank="1" showInputMessage="1" showErrorMessage="1" sqref="D21" xr:uid="{C435D048-EAC7-4E47-8F4E-28EE0356AEC2}">
      <formula1>"極めて重要,通常"</formula1>
    </dataValidation>
    <dataValidation type="list" allowBlank="1" showInputMessage="1" showErrorMessage="1" sqref="D28" xr:uid="{2FC424A8-8FD2-49BB-9296-841CC000237D}">
      <formula1>"Ⅰ,Ⅱ,Ⅲ,Ⅳ"</formula1>
    </dataValidation>
  </dataValidations>
  <pageMargins left="0.25" right="0.25" top="0.75" bottom="0.75" header="0.3" footer="0.3"/>
  <pageSetup paperSize="9" scale="59" orientation="portrait" r:id="rId1"/>
  <colBreaks count="1" manualBreakCount="1">
    <brk id="1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6846-A001-4599-A637-8B84566387B3}">
  <sheetPr>
    <tabColor rgb="FF00B050"/>
    <pageSetUpPr fitToPage="1"/>
  </sheetPr>
  <dimension ref="B1:Z105"/>
  <sheetViews>
    <sheetView showOutlineSymbols="0" view="pageBreakPreview" topLeftCell="A18" zoomScale="80" zoomScaleNormal="100" zoomScaleSheetLayoutView="80" workbookViewId="0">
      <selection activeCell="D26" sqref="D26"/>
    </sheetView>
  </sheetViews>
  <sheetFormatPr defaultColWidth="9" defaultRowHeight="16.149999999999999"/>
  <cols>
    <col min="1" max="1" width="7.125" style="1" customWidth="1"/>
    <col min="2" max="2" width="10.75" style="1" customWidth="1"/>
    <col min="3" max="3" width="24.25" style="1" customWidth="1"/>
    <col min="4" max="4" width="25.875" style="1" bestFit="1" customWidth="1"/>
    <col min="5" max="5" width="6.375" style="1" customWidth="1"/>
    <col min="6" max="6" width="61.75" style="1" customWidth="1"/>
    <col min="7" max="7" width="8.25" style="1" customWidth="1"/>
    <col min="8" max="15" width="10.75" style="1" customWidth="1"/>
    <col min="16" max="17" width="9" style="1"/>
    <col min="18" max="18" width="10.75" style="1" bestFit="1" customWidth="1"/>
    <col min="19" max="20" width="10.5" style="1" customWidth="1"/>
    <col min="21" max="16384" width="9" style="1"/>
  </cols>
  <sheetData>
    <row r="1" spans="2:26">
      <c r="G1" s="2" t="s">
        <v>0</v>
      </c>
    </row>
    <row r="2" spans="2:26" ht="19.899999999999999">
      <c r="B2" s="54" t="s">
        <v>1</v>
      </c>
      <c r="C2" s="54"/>
      <c r="D2" s="54"/>
      <c r="E2" s="54"/>
      <c r="F2" s="54"/>
    </row>
    <row r="4" spans="2:26">
      <c r="B4" s="1" t="s">
        <v>2</v>
      </c>
    </row>
    <row r="5" spans="2:26">
      <c r="F5" s="3" t="s">
        <v>3</v>
      </c>
    </row>
    <row r="7" spans="2:26">
      <c r="B7" s="1" t="s">
        <v>4</v>
      </c>
    </row>
    <row r="9" spans="2:26">
      <c r="B9" s="4" t="s">
        <v>5</v>
      </c>
      <c r="C9" s="19">
        <v>46017</v>
      </c>
      <c r="D9" s="4"/>
    </row>
    <row r="10" spans="2:26">
      <c r="B10" s="4" t="s">
        <v>6</v>
      </c>
      <c r="C10" s="19">
        <v>46053</v>
      </c>
      <c r="D10" s="4"/>
    </row>
    <row r="13" spans="2:26" ht="18">
      <c r="B13" s="1" t="s">
        <v>7</v>
      </c>
      <c r="O13"/>
      <c r="P13"/>
      <c r="Q13"/>
      <c r="R13"/>
      <c r="S13"/>
      <c r="T13"/>
      <c r="U13"/>
      <c r="V13"/>
      <c r="W13"/>
      <c r="X13"/>
      <c r="Y13"/>
      <c r="Z13"/>
    </row>
    <row r="14" spans="2:26" ht="18">
      <c r="B14" s="55" t="s">
        <v>8</v>
      </c>
      <c r="C14" s="55"/>
      <c r="D14" s="55"/>
      <c r="E14" s="55"/>
      <c r="F14" s="5" t="s">
        <v>9</v>
      </c>
      <c r="O14"/>
      <c r="P14"/>
      <c r="Q14"/>
      <c r="R14"/>
      <c r="S14"/>
      <c r="T14"/>
      <c r="U14"/>
      <c r="V14"/>
      <c r="W14"/>
      <c r="X14"/>
      <c r="Y14"/>
      <c r="Z14"/>
    </row>
    <row r="15" spans="2:26" ht="18">
      <c r="B15" s="56" t="s">
        <v>10</v>
      </c>
      <c r="C15" s="6" t="s">
        <v>11</v>
      </c>
      <c r="D15" s="14" t="s">
        <v>83</v>
      </c>
      <c r="E15" s="7" t="s">
        <v>13</v>
      </c>
      <c r="F15" s="4"/>
      <c r="O15"/>
      <c r="P15"/>
      <c r="Q15"/>
      <c r="R15"/>
      <c r="S15"/>
      <c r="T15"/>
      <c r="U15"/>
      <c r="V15"/>
      <c r="W15"/>
      <c r="X15"/>
      <c r="Y15"/>
      <c r="Z15"/>
    </row>
    <row r="16" spans="2:26" ht="18">
      <c r="B16" s="57"/>
      <c r="C16" s="6" t="s">
        <v>14</v>
      </c>
      <c r="D16" s="15" t="s">
        <v>84</v>
      </c>
      <c r="E16" s="7" t="s">
        <v>13</v>
      </c>
      <c r="F16" s="4"/>
      <c r="O16"/>
      <c r="P16"/>
      <c r="Q16"/>
      <c r="R16"/>
      <c r="S16"/>
      <c r="T16"/>
      <c r="U16"/>
      <c r="V16"/>
      <c r="W16"/>
      <c r="X16"/>
      <c r="Y16"/>
      <c r="Z16"/>
    </row>
    <row r="17" spans="2:26" ht="18">
      <c r="B17" s="57"/>
      <c r="C17" s="6" t="s">
        <v>16</v>
      </c>
      <c r="D17" s="15">
        <v>38.675249999999998</v>
      </c>
      <c r="E17" s="8" t="s">
        <v>17</v>
      </c>
      <c r="F17" s="4" t="s">
        <v>18</v>
      </c>
      <c r="O17"/>
      <c r="P17"/>
      <c r="Q17"/>
      <c r="R17"/>
      <c r="S17"/>
      <c r="T17"/>
      <c r="U17"/>
      <c r="V17"/>
      <c r="W17"/>
      <c r="X17"/>
      <c r="Y17"/>
      <c r="Z17"/>
    </row>
    <row r="18" spans="2:26" ht="18">
      <c r="B18" s="57"/>
      <c r="C18" s="6" t="s">
        <v>19</v>
      </c>
      <c r="D18" s="15">
        <v>141.00628</v>
      </c>
      <c r="E18" s="8" t="s">
        <v>17</v>
      </c>
      <c r="F18" s="4" t="s">
        <v>20</v>
      </c>
      <c r="O18"/>
      <c r="P18"/>
      <c r="Q18"/>
      <c r="R18"/>
      <c r="S18"/>
      <c r="T18"/>
      <c r="U18"/>
      <c r="V18"/>
      <c r="W18"/>
      <c r="X18"/>
      <c r="Y18"/>
      <c r="Z18"/>
    </row>
    <row r="19" spans="2:26" ht="18">
      <c r="B19" s="57"/>
      <c r="C19" s="6" t="s">
        <v>21</v>
      </c>
      <c r="D19" s="27">
        <v>42740</v>
      </c>
      <c r="E19" s="7" t="s">
        <v>22</v>
      </c>
      <c r="F19" s="4" t="s">
        <v>23</v>
      </c>
      <c r="O19"/>
      <c r="P19"/>
      <c r="Q19"/>
      <c r="R19"/>
      <c r="S19"/>
      <c r="T19"/>
      <c r="U19"/>
      <c r="V19"/>
      <c r="W19"/>
      <c r="X19"/>
      <c r="Y19"/>
      <c r="Z19"/>
    </row>
    <row r="20" spans="2:26" ht="18">
      <c r="B20" s="58"/>
      <c r="C20" s="6" t="s">
        <v>24</v>
      </c>
      <c r="D20" s="20">
        <v>4407599</v>
      </c>
      <c r="E20" s="18" t="s">
        <v>25</v>
      </c>
      <c r="F20" s="4"/>
      <c r="O20"/>
      <c r="P20"/>
      <c r="Q20"/>
      <c r="R20"/>
      <c r="S20"/>
      <c r="T20"/>
      <c r="U20"/>
      <c r="V20"/>
      <c r="W20"/>
      <c r="X20"/>
      <c r="Y20"/>
      <c r="Z20"/>
    </row>
    <row r="21" spans="2:26" ht="18">
      <c r="B21" s="56" t="s">
        <v>26</v>
      </c>
      <c r="C21" s="6" t="s">
        <v>27</v>
      </c>
      <c r="D21" s="21" t="s">
        <v>28</v>
      </c>
      <c r="E21" s="7" t="s">
        <v>13</v>
      </c>
      <c r="F21" s="4" t="s">
        <v>29</v>
      </c>
      <c r="O21"/>
      <c r="P21"/>
      <c r="Q21"/>
      <c r="R21"/>
      <c r="S21"/>
      <c r="T21"/>
      <c r="U21"/>
      <c r="V21"/>
      <c r="W21"/>
      <c r="X21"/>
      <c r="Y21"/>
      <c r="Z21"/>
    </row>
    <row r="22" spans="2:26" ht="18">
      <c r="B22" s="57"/>
      <c r="C22" s="9" t="s">
        <v>30</v>
      </c>
      <c r="D22" s="21">
        <v>10</v>
      </c>
      <c r="E22" s="8" t="s">
        <v>31</v>
      </c>
      <c r="F22" s="4" t="s">
        <v>32</v>
      </c>
      <c r="O22"/>
      <c r="P22"/>
      <c r="Q22"/>
      <c r="R22"/>
      <c r="S22"/>
      <c r="T22"/>
      <c r="U22"/>
      <c r="V22"/>
      <c r="W22"/>
      <c r="X22"/>
      <c r="Y22"/>
      <c r="Z22"/>
    </row>
    <row r="23" spans="2:26" ht="18">
      <c r="B23" s="57"/>
      <c r="C23" s="9" t="s">
        <v>33</v>
      </c>
      <c r="D23" s="22">
        <f>(1.694-1.004)/2+1.004</f>
        <v>1.349</v>
      </c>
      <c r="E23" s="8" t="s">
        <v>34</v>
      </c>
      <c r="F23" s="4" t="s">
        <v>32</v>
      </c>
      <c r="O23"/>
      <c r="P23"/>
      <c r="Q23"/>
      <c r="R23"/>
      <c r="S23"/>
      <c r="T23"/>
      <c r="U23"/>
      <c r="V23"/>
      <c r="W23"/>
      <c r="X23"/>
      <c r="Y23"/>
      <c r="Z23"/>
    </row>
    <row r="24" spans="2:26" ht="18">
      <c r="B24" s="57"/>
      <c r="C24" s="9" t="s">
        <v>35</v>
      </c>
      <c r="D24" s="22">
        <f>(0.6+0.404)</f>
        <v>1.004</v>
      </c>
      <c r="E24" s="8" t="s">
        <v>34</v>
      </c>
      <c r="F24" s="4" t="s">
        <v>32</v>
      </c>
      <c r="O24"/>
      <c r="P24"/>
      <c r="Q24"/>
      <c r="R24"/>
      <c r="S24"/>
      <c r="T24"/>
      <c r="U24"/>
      <c r="V24"/>
      <c r="W24"/>
      <c r="X24"/>
      <c r="Y24"/>
      <c r="Z24"/>
    </row>
    <row r="25" spans="2:26" ht="18">
      <c r="B25" s="58"/>
      <c r="C25" s="9" t="s">
        <v>36</v>
      </c>
      <c r="D25" s="63">
        <f>4.18*COS(RADIANS(10))</f>
        <v>4.1164964075910291</v>
      </c>
      <c r="E25" s="8" t="s">
        <v>37</v>
      </c>
      <c r="F25" s="4" t="s">
        <v>32</v>
      </c>
      <c r="O25"/>
      <c r="P25"/>
      <c r="Q25"/>
      <c r="R25"/>
      <c r="S25"/>
      <c r="T25"/>
      <c r="U25"/>
      <c r="V25"/>
      <c r="W25"/>
      <c r="X25"/>
      <c r="Y25"/>
      <c r="Z25"/>
    </row>
    <row r="26" spans="2:26" ht="18">
      <c r="B26" s="56" t="s">
        <v>38</v>
      </c>
      <c r="C26" s="9" t="s">
        <v>39</v>
      </c>
      <c r="D26" s="23" t="s">
        <v>40</v>
      </c>
      <c r="E26" s="7" t="s">
        <v>13</v>
      </c>
      <c r="F26" s="4" t="s">
        <v>41</v>
      </c>
      <c r="O26"/>
      <c r="P26"/>
      <c r="Q26"/>
      <c r="R26"/>
      <c r="S26"/>
      <c r="T26"/>
      <c r="U26"/>
      <c r="V26"/>
      <c r="W26"/>
      <c r="X26"/>
      <c r="Y26"/>
      <c r="Z26"/>
    </row>
    <row r="27" spans="2:26" ht="18">
      <c r="B27" s="57"/>
      <c r="C27" s="9" t="s">
        <v>42</v>
      </c>
      <c r="D27" s="24">
        <v>30</v>
      </c>
      <c r="E27" s="8" t="s">
        <v>43</v>
      </c>
      <c r="F27" s="4" t="s">
        <v>44</v>
      </c>
      <c r="O27"/>
      <c r="P27"/>
      <c r="Q27"/>
      <c r="R27"/>
      <c r="S27"/>
      <c r="T27"/>
      <c r="U27"/>
      <c r="V27"/>
      <c r="W27"/>
      <c r="X27"/>
      <c r="Y27"/>
      <c r="Z27"/>
    </row>
    <row r="28" spans="2:26" ht="18">
      <c r="B28" s="57"/>
      <c r="C28" s="9" t="s">
        <v>45</v>
      </c>
      <c r="D28" s="24" t="s">
        <v>46</v>
      </c>
      <c r="E28" s="7" t="s">
        <v>13</v>
      </c>
      <c r="F28" s="4" t="s">
        <v>47</v>
      </c>
      <c r="O28"/>
      <c r="P28"/>
      <c r="Q28"/>
      <c r="R28"/>
      <c r="S28"/>
      <c r="T28"/>
      <c r="U28"/>
      <c r="V28"/>
      <c r="W28"/>
      <c r="X28"/>
      <c r="Y28"/>
      <c r="Z28"/>
    </row>
    <row r="29" spans="2:26" ht="18">
      <c r="B29" s="57"/>
      <c r="C29" s="9" t="s">
        <v>48</v>
      </c>
      <c r="D29" s="24" t="s">
        <v>49</v>
      </c>
      <c r="E29" s="7" t="s">
        <v>13</v>
      </c>
      <c r="F29" s="4" t="s">
        <v>44</v>
      </c>
      <c r="O29"/>
      <c r="P29"/>
      <c r="Q29"/>
      <c r="R29"/>
      <c r="S29"/>
      <c r="T29"/>
      <c r="U29"/>
      <c r="V29"/>
      <c r="W29"/>
      <c r="X29"/>
      <c r="Y29"/>
      <c r="Z29"/>
    </row>
    <row r="30" spans="2:26" ht="18">
      <c r="B30" s="57"/>
      <c r="C30" s="9" t="s">
        <v>50</v>
      </c>
      <c r="D30" s="24">
        <v>71</v>
      </c>
      <c r="E30" s="8" t="s">
        <v>51</v>
      </c>
      <c r="F30" s="4" t="s">
        <v>52</v>
      </c>
      <c r="O30"/>
      <c r="P30"/>
      <c r="Q30"/>
      <c r="R30"/>
      <c r="S30"/>
      <c r="T30"/>
      <c r="U30"/>
      <c r="V30"/>
      <c r="W30"/>
      <c r="X30"/>
      <c r="Y30"/>
      <c r="Z30"/>
    </row>
    <row r="31" spans="2:26" ht="18">
      <c r="B31" s="57"/>
      <c r="C31" s="9" t="s">
        <v>53</v>
      </c>
      <c r="D31" s="23" t="s">
        <v>49</v>
      </c>
      <c r="E31" s="7" t="s">
        <v>13</v>
      </c>
      <c r="F31" s="4" t="s">
        <v>44</v>
      </c>
      <c r="O31"/>
      <c r="P31"/>
      <c r="Q31"/>
      <c r="R31"/>
      <c r="S31"/>
      <c r="T31"/>
      <c r="U31"/>
      <c r="V31"/>
      <c r="W31"/>
      <c r="X31"/>
      <c r="Y31"/>
      <c r="Z31"/>
    </row>
    <row r="32" spans="2:26" ht="18">
      <c r="B32" s="57"/>
      <c r="C32" s="9" t="s">
        <v>54</v>
      </c>
      <c r="D32" s="23">
        <v>0.98299999999999998</v>
      </c>
      <c r="E32" s="7" t="s">
        <v>13</v>
      </c>
      <c r="F32" s="4" t="s">
        <v>44</v>
      </c>
      <c r="O32"/>
      <c r="P32"/>
      <c r="Q32"/>
      <c r="R32"/>
      <c r="S32"/>
      <c r="T32"/>
      <c r="U32"/>
      <c r="V32"/>
      <c r="W32"/>
      <c r="X32"/>
      <c r="Y32"/>
      <c r="Z32"/>
    </row>
    <row r="33" spans="2:26" ht="18">
      <c r="B33" s="57"/>
      <c r="C33" s="9" t="s">
        <v>55</v>
      </c>
      <c r="D33" s="23" t="s">
        <v>49</v>
      </c>
      <c r="E33" s="8" t="s">
        <v>56</v>
      </c>
      <c r="F33" s="4" t="s">
        <v>44</v>
      </c>
      <c r="O33"/>
      <c r="P33"/>
      <c r="Q33"/>
      <c r="R33"/>
      <c r="S33"/>
      <c r="T33"/>
      <c r="U33"/>
      <c r="V33"/>
      <c r="W33"/>
      <c r="X33"/>
      <c r="Y33"/>
      <c r="Z33"/>
    </row>
    <row r="34" spans="2:26" ht="18">
      <c r="B34" s="58"/>
      <c r="C34" s="9" t="s">
        <v>57</v>
      </c>
      <c r="D34" s="23">
        <v>5400</v>
      </c>
      <c r="E34" s="8" t="s">
        <v>56</v>
      </c>
      <c r="F34" s="4" t="s">
        <v>44</v>
      </c>
      <c r="O34"/>
      <c r="P34"/>
      <c r="Q34"/>
      <c r="R34"/>
      <c r="S34"/>
      <c r="T34"/>
      <c r="U34"/>
      <c r="V34"/>
      <c r="W34"/>
      <c r="X34"/>
      <c r="Y34"/>
      <c r="Z34"/>
    </row>
    <row r="35" spans="2:26" ht="18">
      <c r="B35" s="52" t="s">
        <v>58</v>
      </c>
      <c r="C35" s="9" t="s">
        <v>59</v>
      </c>
      <c r="D35" s="25">
        <v>0.13</v>
      </c>
      <c r="E35" s="7" t="s">
        <v>13</v>
      </c>
      <c r="F35" s="4" t="s">
        <v>44</v>
      </c>
      <c r="O35"/>
      <c r="P35"/>
      <c r="Q35"/>
      <c r="R35"/>
      <c r="S35"/>
      <c r="T35"/>
      <c r="U35"/>
      <c r="V35"/>
      <c r="W35"/>
      <c r="X35"/>
      <c r="Y35"/>
      <c r="Z35"/>
    </row>
    <row r="36" spans="2:26" ht="18">
      <c r="B36" s="53"/>
      <c r="C36" s="9" t="s">
        <v>60</v>
      </c>
      <c r="D36" s="25">
        <v>0.92</v>
      </c>
      <c r="E36" s="7" t="s">
        <v>13</v>
      </c>
      <c r="F36" s="4" t="s">
        <v>44</v>
      </c>
      <c r="O36"/>
      <c r="P36"/>
      <c r="Q36"/>
      <c r="R36"/>
      <c r="S36"/>
      <c r="T36"/>
      <c r="U36"/>
      <c r="V36"/>
      <c r="W36"/>
      <c r="X36"/>
      <c r="Y36"/>
      <c r="Z36"/>
    </row>
    <row r="37" spans="2:26" ht="18">
      <c r="B37" s="59" t="s">
        <v>61</v>
      </c>
      <c r="C37" s="10" t="s">
        <v>62</v>
      </c>
      <c r="D37" s="26"/>
      <c r="E37" s="11" t="s">
        <v>63</v>
      </c>
      <c r="F37" s="4" t="s">
        <v>64</v>
      </c>
      <c r="O37"/>
      <c r="P37"/>
      <c r="Q37"/>
      <c r="R37"/>
      <c r="S37"/>
      <c r="T37"/>
      <c r="U37"/>
      <c r="V37"/>
      <c r="W37"/>
      <c r="X37"/>
      <c r="Y37"/>
      <c r="Z37"/>
    </row>
    <row r="38" spans="2:26" ht="18">
      <c r="B38" s="60"/>
      <c r="C38" s="10" t="s">
        <v>65</v>
      </c>
      <c r="D38" s="26"/>
      <c r="E38" s="11" t="s">
        <v>63</v>
      </c>
      <c r="F38" s="4" t="s">
        <v>66</v>
      </c>
      <c r="O38"/>
      <c r="P38"/>
      <c r="Q38"/>
      <c r="R38"/>
      <c r="S38"/>
      <c r="T38"/>
      <c r="U38"/>
      <c r="V38"/>
      <c r="W38"/>
      <c r="X38"/>
      <c r="Y38"/>
      <c r="Z38"/>
    </row>
    <row r="39" spans="2:26" ht="18">
      <c r="B39" s="60"/>
      <c r="C39" s="10" t="s">
        <v>67</v>
      </c>
      <c r="D39" s="26"/>
      <c r="E39" s="11" t="s">
        <v>63</v>
      </c>
      <c r="F39" s="4" t="s">
        <v>68</v>
      </c>
      <c r="O39"/>
      <c r="P39"/>
      <c r="Q39"/>
      <c r="R39"/>
      <c r="S39"/>
      <c r="T39"/>
      <c r="U39"/>
      <c r="V39"/>
      <c r="W39"/>
      <c r="X39"/>
      <c r="Y39"/>
      <c r="Z39"/>
    </row>
    <row r="40" spans="2:26" ht="18">
      <c r="B40" s="61"/>
      <c r="C40" s="10" t="s">
        <v>69</v>
      </c>
      <c r="D40" s="26"/>
      <c r="E40" s="11" t="s">
        <v>63</v>
      </c>
      <c r="F40" s="4" t="s">
        <v>70</v>
      </c>
      <c r="O40"/>
      <c r="P40"/>
      <c r="Q40"/>
      <c r="R40"/>
      <c r="S40"/>
      <c r="T40"/>
      <c r="U40"/>
      <c r="V40"/>
      <c r="W40"/>
      <c r="X40"/>
      <c r="Y40"/>
      <c r="Z40"/>
    </row>
    <row r="41" spans="2:26" ht="18">
      <c r="C41" s="12" t="s">
        <v>71</v>
      </c>
      <c r="D41"/>
      <c r="E41"/>
      <c r="F41"/>
      <c r="O41"/>
      <c r="P41"/>
      <c r="Q41"/>
      <c r="R41"/>
      <c r="S41"/>
      <c r="T41"/>
      <c r="U41"/>
      <c r="V41"/>
      <c r="W41"/>
      <c r="X41"/>
      <c r="Y41"/>
      <c r="Z41"/>
    </row>
    <row r="42" spans="2:26" ht="18">
      <c r="O42"/>
      <c r="P42"/>
      <c r="Q42"/>
      <c r="R42"/>
      <c r="S42"/>
      <c r="T42"/>
      <c r="U42"/>
      <c r="V42"/>
      <c r="W42"/>
      <c r="X42"/>
      <c r="Y42"/>
      <c r="Z42"/>
    </row>
    <row r="43" spans="2:26" ht="18">
      <c r="G43" s="2" t="s">
        <v>0</v>
      </c>
      <c r="O43"/>
      <c r="P43"/>
      <c r="Q43"/>
      <c r="R43"/>
      <c r="S43"/>
      <c r="T43"/>
      <c r="U43"/>
      <c r="V43"/>
      <c r="W43"/>
      <c r="X43"/>
      <c r="Y43"/>
      <c r="Z43"/>
    </row>
    <row r="44" spans="2:26" ht="19.899999999999999">
      <c r="B44" s="54" t="s">
        <v>72</v>
      </c>
      <c r="C44" s="54"/>
      <c r="D44" s="54"/>
      <c r="E44" s="54"/>
      <c r="F44" s="54"/>
      <c r="O44"/>
      <c r="P44"/>
      <c r="Q44"/>
      <c r="R44"/>
      <c r="S44"/>
      <c r="T44"/>
      <c r="U44"/>
      <c r="V44"/>
      <c r="W44"/>
      <c r="X44"/>
      <c r="Y44"/>
      <c r="Z44"/>
    </row>
    <row r="45" spans="2:26" ht="18">
      <c r="O45"/>
      <c r="P45"/>
      <c r="Q45"/>
      <c r="R45"/>
      <c r="S45"/>
      <c r="T45"/>
      <c r="U45"/>
      <c r="V45"/>
      <c r="W45"/>
      <c r="X45"/>
      <c r="Y45"/>
      <c r="Z45"/>
    </row>
    <row r="46" spans="2:26" ht="18">
      <c r="B46" s="1" t="s">
        <v>2</v>
      </c>
      <c r="O46"/>
      <c r="P46"/>
      <c r="Q46"/>
      <c r="R46"/>
      <c r="S46"/>
      <c r="T46"/>
      <c r="U46"/>
      <c r="V46"/>
      <c r="W46"/>
      <c r="X46"/>
      <c r="Y46"/>
      <c r="Z46"/>
    </row>
    <row r="47" spans="2:26" ht="18">
      <c r="F47" s="3" t="str">
        <f>F5</f>
        <v>スパークス・グリーンエナジー＆テクノロジー株式会社</v>
      </c>
      <c r="O47"/>
      <c r="P47"/>
      <c r="Q47"/>
      <c r="R47"/>
      <c r="S47"/>
      <c r="T47"/>
      <c r="U47"/>
      <c r="V47"/>
      <c r="W47"/>
      <c r="X47"/>
      <c r="Y47"/>
      <c r="Z47"/>
    </row>
    <row r="48" spans="2:26" ht="18">
      <c r="O48"/>
      <c r="P48"/>
      <c r="Q48"/>
      <c r="R48"/>
      <c r="S48"/>
      <c r="T48"/>
      <c r="U48"/>
      <c r="V48"/>
      <c r="W48"/>
      <c r="X48"/>
      <c r="Y48"/>
      <c r="Z48"/>
    </row>
    <row r="49" spans="2:26" ht="18">
      <c r="B49" s="1" t="s">
        <v>4</v>
      </c>
      <c r="O49"/>
      <c r="P49"/>
      <c r="Q49"/>
      <c r="R49"/>
      <c r="S49"/>
      <c r="T49"/>
      <c r="U49"/>
      <c r="V49"/>
      <c r="W49"/>
      <c r="X49"/>
      <c r="Y49"/>
      <c r="Z49"/>
    </row>
    <row r="50" spans="2:26" ht="12" customHeight="1">
      <c r="O50"/>
      <c r="P50"/>
      <c r="Q50"/>
      <c r="R50"/>
      <c r="S50"/>
      <c r="T50"/>
      <c r="U50"/>
      <c r="V50"/>
      <c r="W50"/>
      <c r="X50"/>
      <c r="Y50"/>
      <c r="Z50"/>
    </row>
    <row r="51" spans="2:26" ht="18">
      <c r="B51" s="4" t="s">
        <v>5</v>
      </c>
      <c r="C51" s="19">
        <f>C9</f>
        <v>46017</v>
      </c>
      <c r="D51" s="4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2:26" ht="18">
      <c r="B52" s="4" t="s">
        <v>6</v>
      </c>
      <c r="C52" s="19">
        <f>C10</f>
        <v>46053</v>
      </c>
      <c r="D52" s="4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2:26" ht="18">
      <c r="P53"/>
      <c r="Q53"/>
      <c r="R53"/>
      <c r="S53"/>
      <c r="T53"/>
      <c r="U53"/>
      <c r="V53"/>
    </row>
    <row r="54" spans="2:26" ht="18">
      <c r="P54"/>
      <c r="Q54"/>
      <c r="R54"/>
      <c r="S54"/>
      <c r="T54"/>
      <c r="U54"/>
      <c r="V54"/>
    </row>
    <row r="55" spans="2:26" ht="18">
      <c r="B55" s="1" t="s">
        <v>7</v>
      </c>
      <c r="P55"/>
      <c r="Q55"/>
      <c r="R55"/>
      <c r="S55"/>
      <c r="T55"/>
      <c r="U55"/>
      <c r="V55"/>
    </row>
    <row r="56" spans="2:26" ht="18">
      <c r="B56" s="55" t="s">
        <v>8</v>
      </c>
      <c r="C56" s="55"/>
      <c r="D56" s="55"/>
      <c r="E56" s="55"/>
      <c r="F56" s="5" t="s">
        <v>9</v>
      </c>
      <c r="P56"/>
      <c r="Q56"/>
      <c r="R56"/>
      <c r="S56"/>
      <c r="T56"/>
      <c r="U56"/>
      <c r="V56"/>
    </row>
    <row r="57" spans="2:26" ht="18">
      <c r="B57" s="56" t="s">
        <v>10</v>
      </c>
      <c r="C57" s="6" t="s">
        <v>11</v>
      </c>
      <c r="D57" s="14" t="str">
        <f>D15</f>
        <v>SGET栗原メガソーラー発電所</v>
      </c>
      <c r="E57" s="7" t="s">
        <v>13</v>
      </c>
      <c r="F57" s="4"/>
      <c r="P57"/>
      <c r="Q57"/>
      <c r="R57"/>
      <c r="S57"/>
      <c r="T57"/>
      <c r="U57"/>
      <c r="V57"/>
    </row>
    <row r="58" spans="2:26" ht="18">
      <c r="B58" s="57"/>
      <c r="C58" s="6" t="s">
        <v>14</v>
      </c>
      <c r="D58" s="15" t="str">
        <f>D16</f>
        <v>宮城県栗原市高清水大沢8-1</v>
      </c>
      <c r="E58" s="7" t="s">
        <v>13</v>
      </c>
      <c r="F58" s="4"/>
      <c r="P58"/>
      <c r="Q58"/>
      <c r="R58"/>
      <c r="S58"/>
      <c r="T58"/>
      <c r="U58"/>
      <c r="V58"/>
    </row>
    <row r="59" spans="2:26" ht="18">
      <c r="B59" s="57"/>
      <c r="C59" s="6" t="s">
        <v>16</v>
      </c>
      <c r="D59" s="15">
        <f>D17</f>
        <v>38.675249999999998</v>
      </c>
      <c r="E59" s="8" t="s">
        <v>17</v>
      </c>
      <c r="F59" s="4" t="s">
        <v>18</v>
      </c>
      <c r="P59"/>
      <c r="Q59"/>
      <c r="R59"/>
      <c r="S59"/>
      <c r="T59"/>
      <c r="U59"/>
      <c r="V59"/>
    </row>
    <row r="60" spans="2:26" ht="18">
      <c r="B60" s="57"/>
      <c r="C60" s="6" t="s">
        <v>19</v>
      </c>
      <c r="D60" s="15">
        <f>D18</f>
        <v>141.00628</v>
      </c>
      <c r="E60" s="8" t="s">
        <v>17</v>
      </c>
      <c r="F60" s="4" t="s">
        <v>20</v>
      </c>
      <c r="P60"/>
      <c r="Q60"/>
      <c r="R60"/>
      <c r="S60"/>
      <c r="T60"/>
      <c r="U60"/>
      <c r="V60"/>
    </row>
    <row r="61" spans="2:26" ht="18">
      <c r="B61" s="58"/>
      <c r="C61" s="6" t="s">
        <v>24</v>
      </c>
      <c r="D61" s="16">
        <f>D20</f>
        <v>4407599</v>
      </c>
      <c r="E61" s="18" t="s">
        <v>25</v>
      </c>
      <c r="F61" s="4"/>
      <c r="P61"/>
      <c r="Q61"/>
      <c r="R61"/>
      <c r="S61"/>
      <c r="T61"/>
      <c r="U61"/>
      <c r="V61"/>
    </row>
    <row r="62" spans="2:26" ht="18">
      <c r="B62" s="59" t="s">
        <v>61</v>
      </c>
      <c r="C62" s="10" t="s">
        <v>62</v>
      </c>
      <c r="D62" s="17"/>
      <c r="E62" s="11" t="s">
        <v>63</v>
      </c>
      <c r="F62" s="4" t="s">
        <v>64</v>
      </c>
      <c r="P62"/>
      <c r="Q62"/>
      <c r="R62"/>
      <c r="S62"/>
      <c r="T62"/>
      <c r="U62"/>
      <c r="V62"/>
    </row>
    <row r="63" spans="2:26">
      <c r="B63" s="60"/>
      <c r="C63" s="10" t="s">
        <v>65</v>
      </c>
      <c r="D63" s="17"/>
      <c r="E63" s="11" t="s">
        <v>63</v>
      </c>
      <c r="F63" s="4" t="s">
        <v>66</v>
      </c>
    </row>
    <row r="64" spans="2:26">
      <c r="B64" s="60"/>
      <c r="C64" s="10" t="s">
        <v>67</v>
      </c>
      <c r="D64" s="17"/>
      <c r="E64" s="11" t="s">
        <v>63</v>
      </c>
      <c r="F64" s="4" t="s">
        <v>68</v>
      </c>
    </row>
    <row r="65" spans="2:9">
      <c r="B65" s="61"/>
      <c r="C65" s="10" t="s">
        <v>69</v>
      </c>
      <c r="D65" s="17"/>
      <c r="E65" s="11" t="s">
        <v>63</v>
      </c>
      <c r="F65" s="4" t="s">
        <v>70</v>
      </c>
    </row>
    <row r="66" spans="2:9" ht="18">
      <c r="C66" s="12"/>
      <c r="D66"/>
      <c r="E66"/>
      <c r="F66"/>
    </row>
    <row r="68" spans="2:9" ht="18">
      <c r="B68"/>
      <c r="C68"/>
      <c r="D68"/>
      <c r="E68"/>
      <c r="F68"/>
      <c r="H68"/>
      <c r="I68"/>
    </row>
    <row r="69" spans="2:9" ht="18">
      <c r="B69"/>
      <c r="C69"/>
      <c r="D69"/>
      <c r="E69"/>
      <c r="F69"/>
      <c r="H69"/>
      <c r="I69"/>
    </row>
    <row r="70" spans="2:9" ht="18">
      <c r="C70"/>
      <c r="D70"/>
      <c r="E70"/>
      <c r="F70"/>
      <c r="G70" s="13"/>
      <c r="H70"/>
      <c r="I70"/>
    </row>
    <row r="71" spans="2:9" ht="18">
      <c r="C71"/>
      <c r="D71"/>
      <c r="E71"/>
      <c r="F71"/>
      <c r="G71" s="13"/>
      <c r="H71"/>
      <c r="I71"/>
    </row>
    <row r="72" spans="2:9" ht="18">
      <c r="C72"/>
      <c r="D72"/>
      <c r="E72"/>
      <c r="F72"/>
      <c r="G72" s="13"/>
      <c r="H72"/>
      <c r="I72"/>
    </row>
    <row r="73" spans="2:9" ht="18">
      <c r="C73"/>
      <c r="D73"/>
      <c r="E73"/>
      <c r="F73"/>
      <c r="G73" s="13"/>
      <c r="H73"/>
      <c r="I73"/>
    </row>
    <row r="74" spans="2:9" ht="18">
      <c r="C74"/>
      <c r="D74"/>
      <c r="E74"/>
      <c r="F74"/>
      <c r="G74" s="13"/>
      <c r="H74"/>
      <c r="I74"/>
    </row>
    <row r="75" spans="2:9" ht="18">
      <c r="C75"/>
      <c r="D75"/>
      <c r="E75"/>
      <c r="F75"/>
      <c r="G75" s="13"/>
      <c r="H75"/>
      <c r="I75"/>
    </row>
    <row r="76" spans="2:9" ht="18">
      <c r="C76"/>
      <c r="D76"/>
      <c r="E76"/>
      <c r="F76"/>
    </row>
    <row r="77" spans="2:9" ht="18">
      <c r="C77"/>
      <c r="D77"/>
      <c r="E77"/>
      <c r="F77"/>
    </row>
    <row r="78" spans="2:9" ht="18">
      <c r="C78"/>
      <c r="D78"/>
      <c r="E78"/>
      <c r="F78"/>
    </row>
    <row r="79" spans="2:9" ht="18">
      <c r="C79"/>
      <c r="D79"/>
      <c r="E79"/>
      <c r="F79"/>
    </row>
    <row r="80" spans="2:9" ht="18">
      <c r="C80"/>
      <c r="D80"/>
      <c r="E80"/>
      <c r="F80"/>
    </row>
    <row r="81" spans="2:6" ht="18">
      <c r="C81"/>
      <c r="D81"/>
      <c r="E81"/>
      <c r="F81"/>
    </row>
    <row r="82" spans="2:6" ht="18">
      <c r="C82"/>
      <c r="D82"/>
      <c r="E82"/>
      <c r="F82"/>
    </row>
    <row r="83" spans="2:6" ht="18">
      <c r="C83"/>
      <c r="D83"/>
      <c r="E83"/>
      <c r="F83"/>
    </row>
    <row r="84" spans="2:6" ht="18">
      <c r="C84"/>
      <c r="D84"/>
      <c r="E84"/>
      <c r="F84"/>
    </row>
    <row r="85" spans="2:6" ht="18">
      <c r="C85"/>
      <c r="D85"/>
      <c r="E85"/>
      <c r="F85"/>
    </row>
    <row r="86" spans="2:6" ht="18">
      <c r="C86"/>
      <c r="D86"/>
      <c r="E86"/>
      <c r="F86"/>
    </row>
    <row r="87" spans="2:6" ht="18">
      <c r="C87"/>
      <c r="D87"/>
      <c r="E87"/>
      <c r="F87"/>
    </row>
    <row r="88" spans="2:6" ht="18">
      <c r="C88"/>
      <c r="D88"/>
      <c r="E88"/>
      <c r="F88"/>
    </row>
    <row r="89" spans="2:6" ht="18">
      <c r="C89"/>
      <c r="D89"/>
      <c r="E89"/>
      <c r="F89"/>
    </row>
    <row r="90" spans="2:6" ht="18">
      <c r="C90"/>
      <c r="D90"/>
      <c r="E90"/>
      <c r="F90"/>
    </row>
    <row r="91" spans="2:6" ht="18">
      <c r="C91"/>
      <c r="D91"/>
      <c r="E91"/>
      <c r="F91"/>
    </row>
    <row r="92" spans="2:6" ht="18">
      <c r="C92"/>
      <c r="D92"/>
      <c r="E92"/>
      <c r="F92"/>
    </row>
    <row r="93" spans="2:6" ht="18">
      <c r="C93"/>
      <c r="D93"/>
      <c r="E93"/>
      <c r="F93"/>
    </row>
    <row r="94" spans="2:6" ht="18">
      <c r="C94"/>
      <c r="D94"/>
      <c r="E94"/>
      <c r="F94"/>
    </row>
    <row r="95" spans="2:6" ht="18">
      <c r="C95"/>
      <c r="D95"/>
      <c r="E95"/>
      <c r="F95"/>
    </row>
    <row r="96" spans="2:6" ht="18">
      <c r="B96"/>
      <c r="C96"/>
      <c r="D96"/>
      <c r="E96"/>
      <c r="F96"/>
    </row>
    <row r="97" spans="2:6" ht="13.5" customHeight="1">
      <c r="B97"/>
      <c r="C97"/>
      <c r="D97"/>
      <c r="E97"/>
      <c r="F97"/>
    </row>
    <row r="98" spans="2:6" ht="18">
      <c r="B98"/>
      <c r="C98"/>
      <c r="D98"/>
      <c r="E98"/>
      <c r="F98"/>
    </row>
    <row r="99" spans="2:6" ht="18">
      <c r="B99"/>
      <c r="C99"/>
      <c r="D99"/>
      <c r="E99"/>
      <c r="F99"/>
    </row>
    <row r="100" spans="2:6" ht="18">
      <c r="B100"/>
      <c r="C100"/>
      <c r="D100"/>
      <c r="E100"/>
      <c r="F100"/>
    </row>
    <row r="101" spans="2:6" ht="18">
      <c r="B101"/>
      <c r="C101"/>
      <c r="D101"/>
      <c r="E101"/>
      <c r="F101"/>
    </row>
    <row r="102" spans="2:6" ht="18">
      <c r="B102"/>
      <c r="C102"/>
      <c r="D102"/>
      <c r="E102"/>
      <c r="F102"/>
    </row>
    <row r="103" spans="2:6" ht="18">
      <c r="B103"/>
      <c r="C103"/>
      <c r="D103"/>
      <c r="E103"/>
      <c r="F103"/>
    </row>
    <row r="104" spans="2:6" ht="18">
      <c r="B104"/>
      <c r="C104"/>
      <c r="D104"/>
      <c r="E104"/>
      <c r="F104"/>
    </row>
    <row r="105" spans="2:6" ht="18">
      <c r="B105"/>
      <c r="C105"/>
      <c r="D105"/>
      <c r="E105"/>
      <c r="F105"/>
    </row>
  </sheetData>
  <mergeCells count="11">
    <mergeCell ref="B37:B40"/>
    <mergeCell ref="B44:F44"/>
    <mergeCell ref="B56:E56"/>
    <mergeCell ref="B57:B61"/>
    <mergeCell ref="B62:B65"/>
    <mergeCell ref="B35:B36"/>
    <mergeCell ref="B2:F2"/>
    <mergeCell ref="B14:E14"/>
    <mergeCell ref="B15:B20"/>
    <mergeCell ref="B21:B25"/>
    <mergeCell ref="B26:B34"/>
  </mergeCells>
  <phoneticPr fontId="3"/>
  <dataValidations count="3">
    <dataValidation type="list" allowBlank="1" showInputMessage="1" showErrorMessage="1" sqref="D28" xr:uid="{7EE9FA7D-D74D-434F-85BA-2E30A5479648}">
      <formula1>"Ⅰ,Ⅱ,Ⅲ,Ⅳ"</formula1>
    </dataValidation>
    <dataValidation type="list" allowBlank="1" showInputMessage="1" showErrorMessage="1" sqref="D21" xr:uid="{97D0F780-49EC-4324-875F-E4B2FDCB7227}">
      <formula1>"極めて重要,通常"</formula1>
    </dataValidation>
    <dataValidation type="list" allowBlank="1" showInputMessage="1" showErrorMessage="1" sqref="D26" xr:uid="{2D8B3E2A-C0AE-4912-8E1B-6BE5A19B1F86}">
      <formula1>"JIS-C8955(2004年版),JIS-C8955(2017年版),NEDOガイドライン(2019年版)"</formula1>
    </dataValidation>
  </dataValidations>
  <pageMargins left="0.25" right="0.25" top="0.75" bottom="0.75" header="0.3" footer="0.3"/>
  <pageSetup paperSize="9" scale="59" orientation="portrait" r:id="rId1"/>
  <colBreaks count="1" manualBreakCount="1">
    <brk id="1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94573-AA31-406F-8D26-84B45F052ED6}">
  <sheetPr>
    <tabColor rgb="FF00B050"/>
    <pageSetUpPr fitToPage="1"/>
  </sheetPr>
  <dimension ref="B1:Z105"/>
  <sheetViews>
    <sheetView showOutlineSymbols="0" view="pageBreakPreview" topLeftCell="A18" zoomScale="80" zoomScaleNormal="100" zoomScaleSheetLayoutView="80" workbookViewId="0">
      <selection activeCell="D25" sqref="D25"/>
    </sheetView>
  </sheetViews>
  <sheetFormatPr defaultColWidth="9" defaultRowHeight="16.149999999999999"/>
  <cols>
    <col min="1" max="1" width="7.125" style="1" customWidth="1"/>
    <col min="2" max="2" width="10.75" style="1" customWidth="1"/>
    <col min="3" max="3" width="24.25" style="1" customWidth="1"/>
    <col min="4" max="4" width="25.875" style="1" bestFit="1" customWidth="1"/>
    <col min="5" max="5" width="6.375" style="1" customWidth="1"/>
    <col min="6" max="6" width="61.75" style="1" customWidth="1"/>
    <col min="7" max="7" width="8.25" style="1" customWidth="1"/>
    <col min="8" max="15" width="10.75" style="1" customWidth="1"/>
    <col min="16" max="17" width="9" style="1"/>
    <col min="18" max="18" width="10.75" style="1" bestFit="1" customWidth="1"/>
    <col min="19" max="20" width="10.5" style="1" customWidth="1"/>
    <col min="21" max="16384" width="9" style="1"/>
  </cols>
  <sheetData>
    <row r="1" spans="2:26">
      <c r="G1" s="2" t="s">
        <v>0</v>
      </c>
    </row>
    <row r="2" spans="2:26" ht="19.899999999999999">
      <c r="B2" s="54" t="s">
        <v>1</v>
      </c>
      <c r="C2" s="54"/>
      <c r="D2" s="54"/>
      <c r="E2" s="54"/>
      <c r="F2" s="54"/>
    </row>
    <row r="4" spans="2:26">
      <c r="B4" s="1" t="s">
        <v>2</v>
      </c>
    </row>
    <row r="5" spans="2:26">
      <c r="F5" s="3" t="s">
        <v>3</v>
      </c>
    </row>
    <row r="7" spans="2:26">
      <c r="B7" s="1" t="s">
        <v>4</v>
      </c>
    </row>
    <row r="9" spans="2:26">
      <c r="B9" s="4" t="s">
        <v>5</v>
      </c>
      <c r="C9" s="19">
        <v>46017</v>
      </c>
      <c r="D9" s="4"/>
    </row>
    <row r="10" spans="2:26">
      <c r="B10" s="4" t="s">
        <v>6</v>
      </c>
      <c r="C10" s="19">
        <v>46053</v>
      </c>
      <c r="D10" s="4"/>
    </row>
    <row r="13" spans="2:26" ht="18">
      <c r="B13" s="1" t="s">
        <v>7</v>
      </c>
      <c r="O13"/>
      <c r="P13"/>
      <c r="Q13"/>
      <c r="R13"/>
      <c r="S13"/>
      <c r="T13"/>
      <c r="U13"/>
      <c r="V13"/>
      <c r="W13"/>
      <c r="X13"/>
      <c r="Y13"/>
      <c r="Z13"/>
    </row>
    <row r="14" spans="2:26" ht="18">
      <c r="B14" s="55" t="s">
        <v>8</v>
      </c>
      <c r="C14" s="55"/>
      <c r="D14" s="55"/>
      <c r="E14" s="55"/>
      <c r="F14" s="5" t="s">
        <v>9</v>
      </c>
      <c r="O14"/>
      <c r="P14"/>
      <c r="Q14"/>
      <c r="R14"/>
      <c r="S14"/>
      <c r="T14"/>
      <c r="U14"/>
      <c r="V14"/>
      <c r="W14"/>
      <c r="X14"/>
      <c r="Y14"/>
      <c r="Z14"/>
    </row>
    <row r="15" spans="2:26" ht="18">
      <c r="B15" s="56" t="s">
        <v>10</v>
      </c>
      <c r="C15" s="6" t="s">
        <v>11</v>
      </c>
      <c r="D15" s="14" t="s">
        <v>85</v>
      </c>
      <c r="E15" s="7" t="s">
        <v>13</v>
      </c>
      <c r="F15" s="4"/>
      <c r="O15"/>
      <c r="P15"/>
      <c r="Q15"/>
      <c r="R15"/>
      <c r="S15"/>
      <c r="T15"/>
      <c r="U15"/>
      <c r="V15"/>
      <c r="W15"/>
      <c r="X15"/>
      <c r="Y15"/>
      <c r="Z15"/>
    </row>
    <row r="16" spans="2:26" ht="18">
      <c r="B16" s="57"/>
      <c r="C16" s="6" t="s">
        <v>14</v>
      </c>
      <c r="D16" s="15" t="s">
        <v>86</v>
      </c>
      <c r="E16" s="7" t="s">
        <v>13</v>
      </c>
      <c r="F16" s="4"/>
      <c r="O16"/>
      <c r="P16"/>
      <c r="Q16"/>
      <c r="R16"/>
      <c r="S16"/>
      <c r="T16"/>
      <c r="U16"/>
      <c r="V16"/>
      <c r="W16"/>
      <c r="X16"/>
      <c r="Y16"/>
      <c r="Z16"/>
    </row>
    <row r="17" spans="2:26" ht="18">
      <c r="B17" s="57"/>
      <c r="C17" s="6" t="s">
        <v>16</v>
      </c>
      <c r="D17" s="15">
        <v>35.510334</v>
      </c>
      <c r="E17" s="8" t="s">
        <v>17</v>
      </c>
      <c r="F17" s="4" t="s">
        <v>18</v>
      </c>
      <c r="O17"/>
      <c r="P17"/>
      <c r="Q17"/>
      <c r="R17"/>
      <c r="S17"/>
      <c r="T17"/>
      <c r="U17"/>
      <c r="V17"/>
      <c r="W17"/>
      <c r="X17"/>
      <c r="Y17"/>
      <c r="Z17"/>
    </row>
    <row r="18" spans="2:26" ht="18">
      <c r="B18" s="57"/>
      <c r="C18" s="6" t="s">
        <v>19</v>
      </c>
      <c r="D18" s="15">
        <v>140.43276299999999</v>
      </c>
      <c r="E18" s="8" t="s">
        <v>17</v>
      </c>
      <c r="F18" s="4" t="s">
        <v>20</v>
      </c>
      <c r="O18"/>
      <c r="P18"/>
      <c r="Q18"/>
      <c r="R18"/>
      <c r="S18"/>
      <c r="T18"/>
      <c r="U18"/>
      <c r="V18"/>
      <c r="W18"/>
      <c r="X18"/>
      <c r="Y18"/>
      <c r="Z18"/>
    </row>
    <row r="19" spans="2:26" ht="18">
      <c r="B19" s="57"/>
      <c r="C19" s="6" t="s">
        <v>21</v>
      </c>
      <c r="D19" s="27">
        <v>42823</v>
      </c>
      <c r="E19" s="7" t="s">
        <v>22</v>
      </c>
      <c r="F19" s="4" t="s">
        <v>23</v>
      </c>
      <c r="O19"/>
      <c r="P19"/>
      <c r="Q19"/>
      <c r="R19"/>
      <c r="S19"/>
      <c r="T19"/>
      <c r="U19"/>
      <c r="V19"/>
      <c r="W19"/>
      <c r="X19"/>
      <c r="Y19"/>
      <c r="Z19"/>
    </row>
    <row r="20" spans="2:26" ht="18">
      <c r="B20" s="58"/>
      <c r="C20" s="6" t="s">
        <v>24</v>
      </c>
      <c r="D20" s="20">
        <v>5389010</v>
      </c>
      <c r="E20" s="18" t="s">
        <v>25</v>
      </c>
      <c r="F20" s="4"/>
      <c r="O20"/>
      <c r="P20"/>
      <c r="Q20"/>
      <c r="R20"/>
      <c r="S20"/>
      <c r="T20"/>
      <c r="U20"/>
      <c r="V20"/>
      <c r="W20"/>
      <c r="X20"/>
      <c r="Y20"/>
      <c r="Z20"/>
    </row>
    <row r="21" spans="2:26" ht="18">
      <c r="B21" s="56" t="s">
        <v>26</v>
      </c>
      <c r="C21" s="6" t="s">
        <v>27</v>
      </c>
      <c r="D21" s="21" t="s">
        <v>28</v>
      </c>
      <c r="E21" s="7" t="s">
        <v>13</v>
      </c>
      <c r="F21" s="4" t="s">
        <v>29</v>
      </c>
      <c r="O21"/>
      <c r="P21"/>
      <c r="Q21"/>
      <c r="R21"/>
      <c r="S21"/>
      <c r="T21"/>
      <c r="U21"/>
      <c r="V21"/>
      <c r="W21"/>
      <c r="X21"/>
      <c r="Y21"/>
      <c r="Z21"/>
    </row>
    <row r="22" spans="2:26" ht="18">
      <c r="B22" s="57"/>
      <c r="C22" s="9" t="s">
        <v>30</v>
      </c>
      <c r="D22" s="21">
        <v>10</v>
      </c>
      <c r="E22" s="8" t="s">
        <v>31</v>
      </c>
      <c r="F22" s="4" t="s">
        <v>32</v>
      </c>
      <c r="O22"/>
      <c r="P22"/>
      <c r="Q22"/>
      <c r="R22"/>
      <c r="S22"/>
      <c r="T22"/>
      <c r="U22"/>
      <c r="V22"/>
      <c r="W22"/>
      <c r="X22"/>
      <c r="Y22"/>
      <c r="Z22"/>
    </row>
    <row r="23" spans="2:26" ht="18">
      <c r="B23" s="57"/>
      <c r="C23" s="9" t="s">
        <v>33</v>
      </c>
      <c r="D23" s="22">
        <f>(1.369-0.796)/2+0.796</f>
        <v>1.0825</v>
      </c>
      <c r="E23" s="8" t="s">
        <v>34</v>
      </c>
      <c r="F23" s="4" t="s">
        <v>32</v>
      </c>
      <c r="O23"/>
      <c r="P23"/>
      <c r="Q23"/>
      <c r="R23"/>
      <c r="S23"/>
      <c r="T23"/>
      <c r="U23"/>
      <c r="V23"/>
      <c r="W23"/>
      <c r="X23"/>
      <c r="Y23"/>
      <c r="Z23"/>
    </row>
    <row r="24" spans="2:26" ht="18">
      <c r="B24" s="57"/>
      <c r="C24" s="9" t="s">
        <v>35</v>
      </c>
      <c r="D24" s="22">
        <v>0.79600000000000004</v>
      </c>
      <c r="E24" s="8" t="s">
        <v>34</v>
      </c>
      <c r="F24" s="4" t="s">
        <v>32</v>
      </c>
      <c r="O24"/>
      <c r="P24"/>
      <c r="Q24"/>
      <c r="R24"/>
      <c r="S24"/>
      <c r="T24"/>
      <c r="U24"/>
      <c r="V24"/>
      <c r="W24"/>
      <c r="X24"/>
      <c r="Y24"/>
      <c r="Z24"/>
    </row>
    <row r="25" spans="2:26" ht="18">
      <c r="B25" s="58"/>
      <c r="C25" s="9" t="s">
        <v>36</v>
      </c>
      <c r="D25" s="63">
        <v>3.2610000000000001</v>
      </c>
      <c r="E25" s="8" t="s">
        <v>37</v>
      </c>
      <c r="F25" s="4" t="s">
        <v>32</v>
      </c>
      <c r="O25"/>
      <c r="P25"/>
      <c r="Q25"/>
      <c r="R25"/>
      <c r="S25"/>
      <c r="T25"/>
      <c r="U25"/>
      <c r="V25"/>
      <c r="W25"/>
      <c r="X25"/>
      <c r="Y25"/>
      <c r="Z25"/>
    </row>
    <row r="26" spans="2:26" ht="18">
      <c r="B26" s="56" t="s">
        <v>38</v>
      </c>
      <c r="C26" s="9" t="s">
        <v>39</v>
      </c>
      <c r="D26" s="23" t="s">
        <v>40</v>
      </c>
      <c r="E26" s="7" t="s">
        <v>13</v>
      </c>
      <c r="F26" s="4" t="s">
        <v>41</v>
      </c>
      <c r="O26"/>
      <c r="P26"/>
      <c r="Q26"/>
      <c r="R26"/>
      <c r="S26"/>
      <c r="T26"/>
      <c r="U26"/>
      <c r="V26"/>
      <c r="W26"/>
      <c r="X26"/>
      <c r="Y26"/>
      <c r="Z26"/>
    </row>
    <row r="27" spans="2:26" ht="18">
      <c r="B27" s="57"/>
      <c r="C27" s="9" t="s">
        <v>42</v>
      </c>
      <c r="D27" s="24">
        <v>36</v>
      </c>
      <c r="E27" s="8" t="s">
        <v>43</v>
      </c>
      <c r="F27" s="4" t="s">
        <v>44</v>
      </c>
      <c r="O27"/>
      <c r="P27"/>
      <c r="Q27"/>
      <c r="R27"/>
      <c r="S27"/>
      <c r="T27"/>
      <c r="U27"/>
      <c r="V27"/>
      <c r="W27"/>
      <c r="X27"/>
      <c r="Y27"/>
      <c r="Z27"/>
    </row>
    <row r="28" spans="2:26" ht="18">
      <c r="B28" s="57"/>
      <c r="C28" s="9" t="s">
        <v>45</v>
      </c>
      <c r="D28" s="24" t="s">
        <v>46</v>
      </c>
      <c r="E28" s="7" t="s">
        <v>13</v>
      </c>
      <c r="F28" s="4" t="s">
        <v>47</v>
      </c>
      <c r="O28"/>
      <c r="P28"/>
      <c r="Q28"/>
      <c r="R28"/>
      <c r="S28"/>
      <c r="T28"/>
      <c r="U28"/>
      <c r="V28"/>
      <c r="W28"/>
      <c r="X28"/>
      <c r="Y28"/>
      <c r="Z28"/>
    </row>
    <row r="29" spans="2:26" ht="18">
      <c r="B29" s="57"/>
      <c r="C29" s="9" t="s">
        <v>48</v>
      </c>
      <c r="D29" s="24" t="s">
        <v>49</v>
      </c>
      <c r="E29" s="7" t="s">
        <v>13</v>
      </c>
      <c r="F29" s="4" t="s">
        <v>44</v>
      </c>
      <c r="O29"/>
      <c r="P29"/>
      <c r="Q29"/>
      <c r="R29"/>
      <c r="S29"/>
      <c r="T29"/>
      <c r="U29"/>
      <c r="V29"/>
      <c r="W29"/>
      <c r="X29"/>
      <c r="Y29"/>
      <c r="Z29"/>
    </row>
    <row r="30" spans="2:26" ht="18">
      <c r="B30" s="57"/>
      <c r="C30" s="9" t="s">
        <v>50</v>
      </c>
      <c r="D30" s="24">
        <v>30</v>
      </c>
      <c r="E30" s="8" t="s">
        <v>51</v>
      </c>
      <c r="F30" s="4" t="s">
        <v>52</v>
      </c>
      <c r="O30"/>
      <c r="P30"/>
      <c r="Q30"/>
      <c r="R30"/>
      <c r="S30"/>
      <c r="T30"/>
      <c r="U30"/>
      <c r="V30"/>
      <c r="W30"/>
      <c r="X30"/>
      <c r="Y30"/>
      <c r="Z30"/>
    </row>
    <row r="31" spans="2:26" ht="18">
      <c r="B31" s="57"/>
      <c r="C31" s="9" t="s">
        <v>53</v>
      </c>
      <c r="D31" s="23" t="s">
        <v>49</v>
      </c>
      <c r="E31" s="7" t="s">
        <v>13</v>
      </c>
      <c r="F31" s="4" t="s">
        <v>44</v>
      </c>
      <c r="O31"/>
      <c r="P31"/>
      <c r="Q31"/>
      <c r="R31"/>
      <c r="S31"/>
      <c r="T31"/>
      <c r="U31"/>
      <c r="V31"/>
      <c r="W31"/>
      <c r="X31"/>
      <c r="Y31"/>
      <c r="Z31"/>
    </row>
    <row r="32" spans="2:26" ht="18">
      <c r="B32" s="57"/>
      <c r="C32" s="9" t="s">
        <v>54</v>
      </c>
      <c r="D32" s="23">
        <v>0.98</v>
      </c>
      <c r="E32" s="7" t="s">
        <v>13</v>
      </c>
      <c r="F32" s="4" t="s">
        <v>44</v>
      </c>
      <c r="O32"/>
      <c r="P32"/>
      <c r="Q32"/>
      <c r="R32"/>
      <c r="S32"/>
      <c r="T32"/>
      <c r="U32"/>
      <c r="V32"/>
      <c r="W32"/>
      <c r="X32"/>
      <c r="Y32"/>
      <c r="Z32"/>
    </row>
    <row r="33" spans="2:26" ht="18">
      <c r="B33" s="57"/>
      <c r="C33" s="9" t="s">
        <v>55</v>
      </c>
      <c r="D33" s="23" t="s">
        <v>49</v>
      </c>
      <c r="E33" s="8" t="s">
        <v>56</v>
      </c>
      <c r="F33" s="4" t="s">
        <v>44</v>
      </c>
      <c r="O33"/>
      <c r="P33"/>
      <c r="Q33"/>
      <c r="R33"/>
      <c r="S33"/>
      <c r="T33"/>
      <c r="U33"/>
      <c r="V33"/>
      <c r="W33"/>
      <c r="X33"/>
      <c r="Y33"/>
      <c r="Z33"/>
    </row>
    <row r="34" spans="2:26" ht="18">
      <c r="B34" s="58"/>
      <c r="C34" s="9" t="s">
        <v>57</v>
      </c>
      <c r="D34" s="23">
        <v>2400</v>
      </c>
      <c r="E34" s="8" t="s">
        <v>56</v>
      </c>
      <c r="F34" s="4" t="s">
        <v>44</v>
      </c>
      <c r="O34"/>
      <c r="P34"/>
      <c r="Q34"/>
      <c r="R34"/>
      <c r="S34"/>
      <c r="T34"/>
      <c r="U34"/>
      <c r="V34"/>
      <c r="W34"/>
      <c r="X34"/>
      <c r="Y34"/>
      <c r="Z34"/>
    </row>
    <row r="35" spans="2:26" ht="18">
      <c r="B35" s="52" t="s">
        <v>58</v>
      </c>
      <c r="C35" s="9" t="s">
        <v>59</v>
      </c>
      <c r="D35" s="32"/>
      <c r="E35" s="7" t="s">
        <v>13</v>
      </c>
      <c r="F35" s="4" t="s">
        <v>44</v>
      </c>
      <c r="O35"/>
      <c r="P35"/>
      <c r="Q35"/>
      <c r="R35"/>
      <c r="S35"/>
      <c r="T35"/>
      <c r="U35"/>
      <c r="V35"/>
      <c r="W35"/>
      <c r="X35"/>
      <c r="Y35"/>
      <c r="Z35"/>
    </row>
    <row r="36" spans="2:26" ht="18">
      <c r="B36" s="53"/>
      <c r="C36" s="9" t="s">
        <v>60</v>
      </c>
      <c r="D36" s="25">
        <v>0.55000000000000004</v>
      </c>
      <c r="E36" s="7" t="s">
        <v>13</v>
      </c>
      <c r="F36" s="4" t="s">
        <v>44</v>
      </c>
      <c r="O36"/>
      <c r="P36"/>
      <c r="Q36"/>
      <c r="R36"/>
      <c r="S36"/>
      <c r="T36"/>
      <c r="U36"/>
      <c r="V36"/>
      <c r="W36"/>
      <c r="X36"/>
      <c r="Y36"/>
      <c r="Z36"/>
    </row>
    <row r="37" spans="2:26" ht="18">
      <c r="B37" s="59" t="s">
        <v>61</v>
      </c>
      <c r="C37" s="10" t="s">
        <v>62</v>
      </c>
      <c r="D37" s="26"/>
      <c r="E37" s="11" t="s">
        <v>63</v>
      </c>
      <c r="F37" s="4" t="s">
        <v>64</v>
      </c>
      <c r="O37"/>
      <c r="P37"/>
      <c r="Q37"/>
      <c r="R37"/>
      <c r="S37"/>
      <c r="T37"/>
      <c r="U37"/>
      <c r="V37"/>
      <c r="W37"/>
      <c r="X37"/>
      <c r="Y37"/>
      <c r="Z37"/>
    </row>
    <row r="38" spans="2:26" ht="18">
      <c r="B38" s="60"/>
      <c r="C38" s="10" t="s">
        <v>65</v>
      </c>
      <c r="D38" s="26"/>
      <c r="E38" s="11" t="s">
        <v>63</v>
      </c>
      <c r="F38" s="4" t="s">
        <v>66</v>
      </c>
      <c r="O38"/>
      <c r="P38"/>
      <c r="Q38"/>
      <c r="R38"/>
      <c r="S38"/>
      <c r="T38"/>
      <c r="U38"/>
      <c r="V38"/>
      <c r="W38"/>
      <c r="X38"/>
      <c r="Y38"/>
      <c r="Z38"/>
    </row>
    <row r="39" spans="2:26" ht="18">
      <c r="B39" s="60"/>
      <c r="C39" s="10" t="s">
        <v>67</v>
      </c>
      <c r="D39" s="26"/>
      <c r="E39" s="11" t="s">
        <v>63</v>
      </c>
      <c r="F39" s="4" t="s">
        <v>68</v>
      </c>
      <c r="O39"/>
      <c r="P39"/>
      <c r="Q39"/>
      <c r="R39"/>
      <c r="S39"/>
      <c r="T39"/>
      <c r="U39"/>
      <c r="V39"/>
      <c r="W39"/>
      <c r="X39"/>
      <c r="Y39"/>
      <c r="Z39"/>
    </row>
    <row r="40" spans="2:26" ht="18">
      <c r="B40" s="61"/>
      <c r="C40" s="10" t="s">
        <v>69</v>
      </c>
      <c r="D40" s="26"/>
      <c r="E40" s="11" t="s">
        <v>63</v>
      </c>
      <c r="F40" s="4" t="s">
        <v>70</v>
      </c>
      <c r="O40"/>
      <c r="P40"/>
      <c r="Q40"/>
      <c r="R40"/>
      <c r="S40"/>
      <c r="T40"/>
      <c r="U40"/>
      <c r="V40"/>
      <c r="W40"/>
      <c r="X40"/>
      <c r="Y40"/>
      <c r="Z40"/>
    </row>
    <row r="41" spans="2:26" ht="18">
      <c r="C41" s="12" t="s">
        <v>71</v>
      </c>
      <c r="D41"/>
      <c r="E41"/>
      <c r="F41"/>
      <c r="O41"/>
      <c r="P41"/>
      <c r="Q41"/>
      <c r="R41"/>
      <c r="S41"/>
      <c r="T41"/>
      <c r="U41"/>
      <c r="V41"/>
      <c r="W41"/>
      <c r="X41"/>
      <c r="Y41"/>
      <c r="Z41"/>
    </row>
    <row r="42" spans="2:26" ht="18">
      <c r="O42"/>
      <c r="P42"/>
      <c r="Q42"/>
      <c r="R42"/>
      <c r="S42"/>
      <c r="T42"/>
      <c r="U42"/>
      <c r="V42"/>
      <c r="W42"/>
      <c r="X42"/>
      <c r="Y42"/>
      <c r="Z42"/>
    </row>
    <row r="43" spans="2:26" ht="18">
      <c r="G43" s="2" t="s">
        <v>0</v>
      </c>
      <c r="O43"/>
      <c r="P43"/>
      <c r="Q43"/>
      <c r="R43"/>
      <c r="S43"/>
      <c r="T43"/>
      <c r="U43"/>
      <c r="V43"/>
      <c r="W43"/>
      <c r="X43"/>
      <c r="Y43"/>
      <c r="Z43"/>
    </row>
    <row r="44" spans="2:26" ht="19.899999999999999">
      <c r="B44" s="54" t="s">
        <v>72</v>
      </c>
      <c r="C44" s="54"/>
      <c r="D44" s="54"/>
      <c r="E44" s="54"/>
      <c r="F44" s="54"/>
      <c r="O44"/>
      <c r="P44"/>
      <c r="Q44"/>
      <c r="R44"/>
      <c r="S44"/>
      <c r="T44"/>
      <c r="U44"/>
      <c r="V44"/>
      <c r="W44"/>
      <c r="X44"/>
      <c r="Y44"/>
      <c r="Z44"/>
    </row>
    <row r="45" spans="2:26" ht="18">
      <c r="O45"/>
      <c r="P45"/>
      <c r="Q45"/>
      <c r="R45"/>
      <c r="S45"/>
      <c r="T45"/>
      <c r="U45"/>
      <c r="V45"/>
      <c r="W45"/>
      <c r="X45"/>
      <c r="Y45"/>
      <c r="Z45"/>
    </row>
    <row r="46" spans="2:26" ht="18">
      <c r="B46" s="1" t="s">
        <v>2</v>
      </c>
      <c r="O46"/>
      <c r="P46"/>
      <c r="Q46"/>
      <c r="R46"/>
      <c r="S46"/>
      <c r="T46"/>
      <c r="U46"/>
      <c r="V46"/>
      <c r="W46"/>
      <c r="X46"/>
      <c r="Y46"/>
      <c r="Z46"/>
    </row>
    <row r="47" spans="2:26" ht="18">
      <c r="F47" s="3" t="str">
        <f>F5</f>
        <v>スパークス・グリーンエナジー＆テクノロジー株式会社</v>
      </c>
      <c r="O47"/>
      <c r="P47"/>
      <c r="Q47"/>
      <c r="R47"/>
      <c r="S47"/>
      <c r="T47"/>
      <c r="U47"/>
      <c r="V47"/>
      <c r="W47"/>
      <c r="X47"/>
      <c r="Y47"/>
      <c r="Z47"/>
    </row>
    <row r="48" spans="2:26" ht="18">
      <c r="O48"/>
      <c r="P48"/>
      <c r="Q48"/>
      <c r="R48"/>
      <c r="S48"/>
      <c r="T48"/>
      <c r="U48"/>
      <c r="V48"/>
      <c r="W48"/>
      <c r="X48"/>
      <c r="Y48"/>
      <c r="Z48"/>
    </row>
    <row r="49" spans="2:26" ht="18">
      <c r="B49" s="1" t="s">
        <v>4</v>
      </c>
      <c r="O49"/>
      <c r="P49"/>
      <c r="Q49"/>
      <c r="R49"/>
      <c r="S49"/>
      <c r="T49"/>
      <c r="U49"/>
      <c r="V49"/>
      <c r="W49"/>
      <c r="X49"/>
      <c r="Y49"/>
      <c r="Z49"/>
    </row>
    <row r="50" spans="2:26" ht="12" customHeight="1">
      <c r="O50"/>
      <c r="P50"/>
      <c r="Q50"/>
      <c r="R50"/>
      <c r="S50"/>
      <c r="T50"/>
      <c r="U50"/>
      <c r="V50"/>
      <c r="W50"/>
      <c r="X50"/>
      <c r="Y50"/>
      <c r="Z50"/>
    </row>
    <row r="51" spans="2:26" ht="18">
      <c r="B51" s="4" t="s">
        <v>5</v>
      </c>
      <c r="C51" s="19">
        <f>C9</f>
        <v>46017</v>
      </c>
      <c r="D51" s="4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2:26" ht="18">
      <c r="B52" s="4" t="s">
        <v>6</v>
      </c>
      <c r="C52" s="19">
        <f>C10</f>
        <v>46053</v>
      </c>
      <c r="D52" s="4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2:26" ht="18">
      <c r="P53"/>
      <c r="Q53"/>
      <c r="R53"/>
      <c r="S53"/>
      <c r="T53"/>
      <c r="U53"/>
      <c r="V53"/>
    </row>
    <row r="54" spans="2:26" ht="18">
      <c r="P54"/>
      <c r="Q54"/>
      <c r="R54"/>
      <c r="S54"/>
      <c r="T54"/>
      <c r="U54"/>
      <c r="V54"/>
    </row>
    <row r="55" spans="2:26" ht="18">
      <c r="B55" s="1" t="s">
        <v>7</v>
      </c>
      <c r="P55"/>
      <c r="Q55"/>
      <c r="R55"/>
      <c r="S55"/>
      <c r="T55"/>
      <c r="U55"/>
      <c r="V55"/>
    </row>
    <row r="56" spans="2:26" ht="18">
      <c r="B56" s="55" t="s">
        <v>8</v>
      </c>
      <c r="C56" s="55"/>
      <c r="D56" s="55"/>
      <c r="E56" s="55"/>
      <c r="F56" s="5" t="s">
        <v>9</v>
      </c>
      <c r="P56"/>
      <c r="Q56"/>
      <c r="R56"/>
      <c r="S56"/>
      <c r="T56"/>
      <c r="U56"/>
      <c r="V56"/>
    </row>
    <row r="57" spans="2:26" ht="18">
      <c r="B57" s="56" t="s">
        <v>10</v>
      </c>
      <c r="C57" s="6" t="s">
        <v>11</v>
      </c>
      <c r="D57" s="14" t="str">
        <f>D15</f>
        <v>SGET神栖メガソーラー発電所</v>
      </c>
      <c r="E57" s="7" t="s">
        <v>13</v>
      </c>
      <c r="F57" s="4"/>
      <c r="P57"/>
      <c r="Q57"/>
      <c r="R57"/>
      <c r="S57"/>
      <c r="T57"/>
      <c r="U57"/>
      <c r="V57"/>
    </row>
    <row r="58" spans="2:26" ht="18">
      <c r="B58" s="57"/>
      <c r="C58" s="6" t="s">
        <v>14</v>
      </c>
      <c r="D58" s="15" t="str">
        <f>D16</f>
        <v>茨城県神栖市砂山16番2および3</v>
      </c>
      <c r="E58" s="7" t="s">
        <v>13</v>
      </c>
      <c r="F58" s="4"/>
      <c r="P58"/>
      <c r="Q58"/>
      <c r="R58"/>
      <c r="S58"/>
      <c r="T58"/>
      <c r="U58"/>
      <c r="V58"/>
    </row>
    <row r="59" spans="2:26" ht="18">
      <c r="B59" s="57"/>
      <c r="C59" s="6" t="s">
        <v>16</v>
      </c>
      <c r="D59" s="15">
        <f>D17</f>
        <v>35.510334</v>
      </c>
      <c r="E59" s="8" t="s">
        <v>17</v>
      </c>
      <c r="F59" s="4" t="s">
        <v>18</v>
      </c>
      <c r="P59"/>
      <c r="Q59"/>
      <c r="R59"/>
      <c r="S59"/>
      <c r="T59"/>
      <c r="U59"/>
      <c r="V59"/>
    </row>
    <row r="60" spans="2:26" ht="18">
      <c r="B60" s="57"/>
      <c r="C60" s="6" t="s">
        <v>19</v>
      </c>
      <c r="D60" s="15">
        <f>D18</f>
        <v>140.43276299999999</v>
      </c>
      <c r="E60" s="8" t="s">
        <v>17</v>
      </c>
      <c r="F60" s="4" t="s">
        <v>20</v>
      </c>
      <c r="P60"/>
      <c r="Q60"/>
      <c r="R60"/>
      <c r="S60"/>
      <c r="T60"/>
      <c r="U60"/>
      <c r="V60"/>
    </row>
    <row r="61" spans="2:26" ht="18">
      <c r="B61" s="58"/>
      <c r="C61" s="6" t="s">
        <v>24</v>
      </c>
      <c r="D61" s="16">
        <f>D20</f>
        <v>5389010</v>
      </c>
      <c r="E61" s="18" t="s">
        <v>25</v>
      </c>
      <c r="F61" s="4"/>
      <c r="P61"/>
      <c r="Q61"/>
      <c r="R61"/>
      <c r="S61"/>
      <c r="T61"/>
      <c r="U61"/>
      <c r="V61"/>
    </row>
    <row r="62" spans="2:26" ht="18">
      <c r="B62" s="59" t="s">
        <v>61</v>
      </c>
      <c r="C62" s="10" t="s">
        <v>62</v>
      </c>
      <c r="D62" s="17"/>
      <c r="E62" s="11" t="s">
        <v>63</v>
      </c>
      <c r="F62" s="4" t="s">
        <v>64</v>
      </c>
      <c r="P62"/>
      <c r="Q62"/>
      <c r="R62"/>
      <c r="S62"/>
      <c r="T62"/>
      <c r="U62"/>
      <c r="V62"/>
    </row>
    <row r="63" spans="2:26">
      <c r="B63" s="60"/>
      <c r="C63" s="10" t="s">
        <v>65</v>
      </c>
      <c r="D63" s="17"/>
      <c r="E63" s="11" t="s">
        <v>63</v>
      </c>
      <c r="F63" s="4" t="s">
        <v>66</v>
      </c>
    </row>
    <row r="64" spans="2:26">
      <c r="B64" s="60"/>
      <c r="C64" s="10" t="s">
        <v>67</v>
      </c>
      <c r="D64" s="17"/>
      <c r="E64" s="11" t="s">
        <v>63</v>
      </c>
      <c r="F64" s="4" t="s">
        <v>68</v>
      </c>
    </row>
    <row r="65" spans="2:9">
      <c r="B65" s="61"/>
      <c r="C65" s="10" t="s">
        <v>69</v>
      </c>
      <c r="D65" s="17"/>
      <c r="E65" s="11" t="s">
        <v>63</v>
      </c>
      <c r="F65" s="4" t="s">
        <v>70</v>
      </c>
    </row>
    <row r="66" spans="2:9" ht="18">
      <c r="C66" s="12"/>
      <c r="D66"/>
      <c r="E66"/>
      <c r="F66"/>
    </row>
    <row r="68" spans="2:9" ht="18">
      <c r="B68"/>
      <c r="C68"/>
      <c r="D68"/>
      <c r="E68"/>
      <c r="F68"/>
      <c r="H68"/>
      <c r="I68"/>
    </row>
    <row r="69" spans="2:9" ht="18">
      <c r="B69"/>
      <c r="C69"/>
      <c r="D69"/>
      <c r="E69"/>
      <c r="F69"/>
      <c r="H69"/>
      <c r="I69"/>
    </row>
    <row r="70" spans="2:9" ht="18">
      <c r="C70"/>
      <c r="D70"/>
      <c r="E70"/>
      <c r="F70"/>
      <c r="G70" s="13"/>
      <c r="H70"/>
      <c r="I70"/>
    </row>
    <row r="71" spans="2:9" ht="18">
      <c r="C71"/>
      <c r="D71"/>
      <c r="E71"/>
      <c r="F71"/>
      <c r="G71" s="13"/>
      <c r="H71"/>
      <c r="I71"/>
    </row>
    <row r="72" spans="2:9" ht="18">
      <c r="C72"/>
      <c r="D72"/>
      <c r="E72"/>
      <c r="F72"/>
      <c r="G72" s="13"/>
      <c r="H72"/>
      <c r="I72"/>
    </row>
    <row r="73" spans="2:9" ht="18">
      <c r="C73"/>
      <c r="D73"/>
      <c r="E73"/>
      <c r="F73"/>
      <c r="G73" s="13"/>
      <c r="H73"/>
      <c r="I73"/>
    </row>
    <row r="74" spans="2:9" ht="18">
      <c r="C74"/>
      <c r="D74"/>
      <c r="E74"/>
      <c r="F74"/>
      <c r="G74" s="13"/>
      <c r="H74"/>
      <c r="I74"/>
    </row>
    <row r="75" spans="2:9" ht="18">
      <c r="C75"/>
      <c r="D75"/>
      <c r="E75"/>
      <c r="F75"/>
      <c r="G75" s="13"/>
      <c r="H75"/>
      <c r="I75"/>
    </row>
    <row r="76" spans="2:9" ht="18">
      <c r="C76"/>
      <c r="D76"/>
      <c r="E76"/>
      <c r="F76"/>
    </row>
    <row r="77" spans="2:9" ht="18">
      <c r="C77"/>
      <c r="D77"/>
      <c r="E77"/>
      <c r="F77"/>
    </row>
    <row r="78" spans="2:9" ht="18">
      <c r="C78"/>
      <c r="D78"/>
      <c r="E78"/>
      <c r="F78"/>
    </row>
    <row r="79" spans="2:9" ht="18">
      <c r="C79"/>
      <c r="D79"/>
      <c r="E79"/>
      <c r="F79"/>
    </row>
    <row r="80" spans="2:9" ht="18">
      <c r="C80"/>
      <c r="D80"/>
      <c r="E80"/>
      <c r="F80"/>
    </row>
    <row r="81" spans="2:6" ht="18">
      <c r="C81"/>
      <c r="D81"/>
      <c r="E81"/>
      <c r="F81"/>
    </row>
    <row r="82" spans="2:6" ht="18">
      <c r="C82"/>
      <c r="D82"/>
      <c r="E82"/>
      <c r="F82"/>
    </row>
    <row r="83" spans="2:6" ht="18">
      <c r="C83"/>
      <c r="D83"/>
      <c r="E83"/>
      <c r="F83"/>
    </row>
    <row r="84" spans="2:6" ht="18">
      <c r="C84"/>
      <c r="D84"/>
      <c r="E84"/>
      <c r="F84"/>
    </row>
    <row r="85" spans="2:6" ht="18">
      <c r="C85"/>
      <c r="D85"/>
      <c r="E85"/>
      <c r="F85"/>
    </row>
    <row r="86" spans="2:6" ht="18">
      <c r="C86"/>
      <c r="D86"/>
      <c r="E86"/>
      <c r="F86"/>
    </row>
    <row r="87" spans="2:6" ht="18">
      <c r="C87"/>
      <c r="D87"/>
      <c r="E87"/>
      <c r="F87"/>
    </row>
    <row r="88" spans="2:6" ht="18">
      <c r="C88"/>
      <c r="D88"/>
      <c r="E88"/>
      <c r="F88"/>
    </row>
    <row r="89" spans="2:6" ht="18">
      <c r="C89"/>
      <c r="D89"/>
      <c r="E89"/>
      <c r="F89"/>
    </row>
    <row r="90" spans="2:6" ht="18">
      <c r="C90"/>
      <c r="D90"/>
      <c r="E90"/>
      <c r="F90"/>
    </row>
    <row r="91" spans="2:6" ht="18">
      <c r="C91"/>
      <c r="D91"/>
      <c r="E91"/>
      <c r="F91"/>
    </row>
    <row r="92" spans="2:6" ht="18">
      <c r="C92"/>
      <c r="D92"/>
      <c r="E92"/>
      <c r="F92"/>
    </row>
    <row r="93" spans="2:6" ht="18">
      <c r="C93"/>
      <c r="D93"/>
      <c r="E93"/>
      <c r="F93"/>
    </row>
    <row r="94" spans="2:6" ht="18">
      <c r="C94"/>
      <c r="D94"/>
      <c r="E94"/>
      <c r="F94"/>
    </row>
    <row r="95" spans="2:6" ht="18">
      <c r="C95"/>
      <c r="D95"/>
      <c r="E95"/>
      <c r="F95"/>
    </row>
    <row r="96" spans="2:6" ht="18">
      <c r="B96"/>
      <c r="C96"/>
      <c r="D96"/>
      <c r="E96"/>
      <c r="F96"/>
    </row>
    <row r="97" spans="2:6" ht="13.5" customHeight="1">
      <c r="B97"/>
      <c r="C97"/>
      <c r="D97"/>
      <c r="E97"/>
      <c r="F97"/>
    </row>
    <row r="98" spans="2:6" ht="18">
      <c r="B98"/>
      <c r="C98"/>
      <c r="D98"/>
      <c r="E98"/>
      <c r="F98"/>
    </row>
    <row r="99" spans="2:6" ht="18">
      <c r="B99"/>
      <c r="C99"/>
      <c r="D99"/>
      <c r="E99"/>
      <c r="F99"/>
    </row>
    <row r="100" spans="2:6" ht="18">
      <c r="B100"/>
      <c r="C100"/>
      <c r="D100"/>
      <c r="E100"/>
      <c r="F100"/>
    </row>
    <row r="101" spans="2:6" ht="18">
      <c r="B101"/>
      <c r="C101"/>
      <c r="D101"/>
      <c r="E101"/>
      <c r="F101"/>
    </row>
    <row r="102" spans="2:6" ht="18">
      <c r="B102"/>
      <c r="C102"/>
      <c r="D102"/>
      <c r="E102"/>
      <c r="F102"/>
    </row>
    <row r="103" spans="2:6" ht="18">
      <c r="B103"/>
      <c r="C103"/>
      <c r="D103"/>
      <c r="E103"/>
      <c r="F103"/>
    </row>
    <row r="104" spans="2:6" ht="18">
      <c r="B104"/>
      <c r="C104"/>
      <c r="D104"/>
      <c r="E104"/>
      <c r="F104"/>
    </row>
    <row r="105" spans="2:6" ht="18">
      <c r="B105"/>
      <c r="C105"/>
      <c r="D105"/>
      <c r="E105"/>
      <c r="F105"/>
    </row>
  </sheetData>
  <mergeCells count="11">
    <mergeCell ref="B37:B40"/>
    <mergeCell ref="B44:F44"/>
    <mergeCell ref="B56:E56"/>
    <mergeCell ref="B57:B61"/>
    <mergeCell ref="B62:B65"/>
    <mergeCell ref="B35:B36"/>
    <mergeCell ref="B2:F2"/>
    <mergeCell ref="B14:E14"/>
    <mergeCell ref="B15:B20"/>
    <mergeCell ref="B21:B25"/>
    <mergeCell ref="B26:B34"/>
  </mergeCells>
  <phoneticPr fontId="3"/>
  <dataValidations count="3">
    <dataValidation type="list" allowBlank="1" showInputMessage="1" showErrorMessage="1" sqref="D26" xr:uid="{5AFA7E37-72A9-4449-A537-03A0D2715559}">
      <formula1>"JIS-C8955(2004年版),JIS-C8955(2017年版),NEDOガイドライン(2019年版)"</formula1>
    </dataValidation>
    <dataValidation type="list" allowBlank="1" showInputMessage="1" showErrorMessage="1" sqref="D21" xr:uid="{B97989A7-B044-4F83-8B74-8DDFE1490BA8}">
      <formula1>"極めて重要,通常"</formula1>
    </dataValidation>
    <dataValidation type="list" allowBlank="1" showInputMessage="1" showErrorMessage="1" sqref="D28" xr:uid="{9817EC2B-9913-472B-9828-9705BB5CF8CB}">
      <formula1>"Ⅰ,Ⅱ,Ⅲ,Ⅳ"</formula1>
    </dataValidation>
  </dataValidations>
  <pageMargins left="0.25" right="0.25" top="0.75" bottom="0.75" header="0.3" footer="0.3"/>
  <pageSetup paperSize="9" scale="59" orientation="portrait" r:id="rId1"/>
  <colBreaks count="1" manualBreakCount="1">
    <brk id="1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22B3-8616-4547-8220-D76BB51128EB}">
  <sheetPr>
    <tabColor rgb="FF00B050"/>
    <pageSetUpPr fitToPage="1"/>
  </sheetPr>
  <dimension ref="B1:Z105"/>
  <sheetViews>
    <sheetView showOutlineSymbols="0" view="pageBreakPreview" topLeftCell="A18" zoomScale="80" zoomScaleNormal="100" zoomScaleSheetLayoutView="80" workbookViewId="0">
      <selection activeCell="D25" sqref="D25"/>
    </sheetView>
  </sheetViews>
  <sheetFormatPr defaultColWidth="9" defaultRowHeight="16.149999999999999"/>
  <cols>
    <col min="1" max="1" width="7.125" style="1" customWidth="1"/>
    <col min="2" max="2" width="10.75" style="1" customWidth="1"/>
    <col min="3" max="3" width="24.25" style="1" customWidth="1"/>
    <col min="4" max="4" width="25.875" style="1" bestFit="1" customWidth="1"/>
    <col min="5" max="5" width="6.375" style="1" customWidth="1"/>
    <col min="6" max="6" width="61.75" style="1" customWidth="1"/>
    <col min="7" max="7" width="8.25" style="1" customWidth="1"/>
    <col min="8" max="15" width="10.75" style="1" customWidth="1"/>
    <col min="16" max="17" width="9" style="1"/>
    <col min="18" max="18" width="10.75" style="1" bestFit="1" customWidth="1"/>
    <col min="19" max="20" width="10.5" style="1" customWidth="1"/>
    <col min="21" max="16384" width="9" style="1"/>
  </cols>
  <sheetData>
    <row r="1" spans="2:26">
      <c r="G1" s="2" t="s">
        <v>0</v>
      </c>
    </row>
    <row r="2" spans="2:26" ht="19.899999999999999">
      <c r="B2" s="54" t="s">
        <v>1</v>
      </c>
      <c r="C2" s="54"/>
      <c r="D2" s="54"/>
      <c r="E2" s="54"/>
      <c r="F2" s="54"/>
    </row>
    <row r="4" spans="2:26">
      <c r="B4" s="1" t="s">
        <v>2</v>
      </c>
    </row>
    <row r="5" spans="2:26">
      <c r="F5" s="3" t="s">
        <v>3</v>
      </c>
    </row>
    <row r="7" spans="2:26">
      <c r="B7" s="1" t="s">
        <v>4</v>
      </c>
    </row>
    <row r="9" spans="2:26">
      <c r="B9" s="4" t="s">
        <v>5</v>
      </c>
      <c r="C9" s="19">
        <v>46017</v>
      </c>
      <c r="D9" s="4"/>
    </row>
    <row r="10" spans="2:26">
      <c r="B10" s="4" t="s">
        <v>6</v>
      </c>
      <c r="C10" s="19">
        <v>46053</v>
      </c>
      <c r="D10" s="4"/>
    </row>
    <row r="13" spans="2:26" ht="18">
      <c r="B13" s="1" t="s">
        <v>7</v>
      </c>
      <c r="O13"/>
      <c r="P13"/>
      <c r="Q13"/>
      <c r="R13"/>
      <c r="S13"/>
      <c r="T13"/>
      <c r="U13"/>
      <c r="V13"/>
      <c r="W13"/>
      <c r="X13"/>
      <c r="Y13"/>
      <c r="Z13"/>
    </row>
    <row r="14" spans="2:26" ht="18">
      <c r="B14" s="55" t="s">
        <v>8</v>
      </c>
      <c r="C14" s="55"/>
      <c r="D14" s="55"/>
      <c r="E14" s="55"/>
      <c r="F14" s="5" t="s">
        <v>9</v>
      </c>
      <c r="O14"/>
      <c r="P14"/>
      <c r="Q14"/>
      <c r="R14"/>
      <c r="S14"/>
      <c r="T14"/>
      <c r="U14"/>
      <c r="V14"/>
      <c r="W14"/>
      <c r="X14"/>
      <c r="Y14"/>
      <c r="Z14"/>
    </row>
    <row r="15" spans="2:26" ht="18">
      <c r="B15" s="56" t="s">
        <v>10</v>
      </c>
      <c r="C15" s="6" t="s">
        <v>11</v>
      </c>
      <c r="D15" s="14" t="s">
        <v>87</v>
      </c>
      <c r="E15" s="7" t="s">
        <v>13</v>
      </c>
      <c r="F15" s="4"/>
      <c r="O15"/>
      <c r="P15"/>
      <c r="Q15"/>
      <c r="R15"/>
      <c r="S15"/>
      <c r="T15"/>
      <c r="U15"/>
      <c r="V15"/>
      <c r="W15"/>
      <c r="X15"/>
      <c r="Y15"/>
      <c r="Z15"/>
    </row>
    <row r="16" spans="2:26" ht="18">
      <c r="B16" s="57"/>
      <c r="C16" s="6" t="s">
        <v>14</v>
      </c>
      <c r="D16" s="15" t="s">
        <v>88</v>
      </c>
      <c r="E16" s="7" t="s">
        <v>13</v>
      </c>
      <c r="F16" s="4"/>
      <c r="O16"/>
      <c r="P16"/>
      <c r="Q16"/>
      <c r="R16"/>
      <c r="S16"/>
      <c r="T16"/>
      <c r="U16"/>
      <c r="V16"/>
      <c r="W16"/>
      <c r="X16"/>
      <c r="Y16"/>
      <c r="Z16"/>
    </row>
    <row r="17" spans="2:26" ht="18">
      <c r="B17" s="57"/>
      <c r="C17" s="6" t="s">
        <v>16</v>
      </c>
      <c r="D17" s="15">
        <v>36.434826000000001</v>
      </c>
      <c r="E17" s="8" t="s">
        <v>17</v>
      </c>
      <c r="F17" s="4" t="s">
        <v>18</v>
      </c>
      <c r="O17"/>
      <c r="P17"/>
      <c r="Q17"/>
      <c r="R17"/>
      <c r="S17"/>
      <c r="T17"/>
      <c r="U17"/>
      <c r="V17"/>
      <c r="W17"/>
      <c r="X17"/>
      <c r="Y17"/>
      <c r="Z17"/>
    </row>
    <row r="18" spans="2:26" ht="18">
      <c r="B18" s="57"/>
      <c r="C18" s="6" t="s">
        <v>19</v>
      </c>
      <c r="D18" s="15">
        <v>140.060068</v>
      </c>
      <c r="E18" s="8" t="s">
        <v>17</v>
      </c>
      <c r="F18" s="4" t="s">
        <v>20</v>
      </c>
      <c r="O18"/>
      <c r="P18"/>
      <c r="Q18"/>
      <c r="R18"/>
      <c r="S18"/>
      <c r="T18"/>
      <c r="U18"/>
      <c r="V18"/>
      <c r="W18"/>
      <c r="X18"/>
      <c r="Y18"/>
      <c r="Z18"/>
    </row>
    <row r="19" spans="2:26" ht="18">
      <c r="B19" s="57"/>
      <c r="C19" s="6" t="s">
        <v>21</v>
      </c>
      <c r="D19" s="27">
        <v>42948</v>
      </c>
      <c r="E19" s="7" t="s">
        <v>22</v>
      </c>
      <c r="F19" s="4" t="s">
        <v>23</v>
      </c>
      <c r="O19"/>
      <c r="P19"/>
      <c r="Q19"/>
      <c r="R19"/>
      <c r="S19"/>
      <c r="T19"/>
      <c r="U19"/>
      <c r="V19"/>
      <c r="W19"/>
      <c r="X19"/>
      <c r="Y19"/>
      <c r="Z19"/>
    </row>
    <row r="20" spans="2:26" ht="18">
      <c r="B20" s="58"/>
      <c r="C20" s="6" t="s">
        <v>24</v>
      </c>
      <c r="D20" s="20">
        <v>6247584</v>
      </c>
      <c r="E20" s="18" t="s">
        <v>25</v>
      </c>
      <c r="F20" s="4"/>
      <c r="O20"/>
      <c r="P20"/>
      <c r="Q20"/>
      <c r="R20"/>
      <c r="S20"/>
      <c r="T20"/>
      <c r="U20"/>
      <c r="V20"/>
      <c r="W20"/>
      <c r="X20"/>
      <c r="Y20"/>
      <c r="Z20"/>
    </row>
    <row r="21" spans="2:26" ht="18">
      <c r="B21" s="56" t="s">
        <v>26</v>
      </c>
      <c r="C21" s="6" t="s">
        <v>27</v>
      </c>
      <c r="D21" s="21" t="s">
        <v>28</v>
      </c>
      <c r="E21" s="7" t="s">
        <v>13</v>
      </c>
      <c r="F21" s="4" t="s">
        <v>29</v>
      </c>
      <c r="O21"/>
      <c r="P21"/>
      <c r="Q21"/>
      <c r="R21"/>
      <c r="S21"/>
      <c r="T21"/>
      <c r="U21"/>
      <c r="V21"/>
      <c r="W21"/>
      <c r="X21"/>
      <c r="Y21"/>
      <c r="Z21"/>
    </row>
    <row r="22" spans="2:26" ht="18">
      <c r="B22" s="57"/>
      <c r="C22" s="9" t="s">
        <v>30</v>
      </c>
      <c r="D22" s="21">
        <v>15</v>
      </c>
      <c r="E22" s="8" t="s">
        <v>31</v>
      </c>
      <c r="F22" s="4" t="s">
        <v>32</v>
      </c>
      <c r="O22"/>
      <c r="P22"/>
      <c r="Q22"/>
      <c r="R22"/>
      <c r="S22"/>
      <c r="T22"/>
      <c r="U22"/>
      <c r="V22"/>
      <c r="W22"/>
      <c r="X22"/>
      <c r="Y22"/>
      <c r="Z22"/>
    </row>
    <row r="23" spans="2:26" ht="18">
      <c r="B23" s="57"/>
      <c r="C23" s="9" t="s">
        <v>33</v>
      </c>
      <c r="D23" s="22">
        <f>(1.735-0.7)/2+0.7</f>
        <v>1.2175</v>
      </c>
      <c r="E23" s="8" t="s">
        <v>34</v>
      </c>
      <c r="F23" s="4" t="s">
        <v>32</v>
      </c>
      <c r="O23"/>
      <c r="P23"/>
      <c r="Q23"/>
      <c r="R23"/>
      <c r="S23"/>
      <c r="T23"/>
      <c r="U23"/>
      <c r="V23"/>
      <c r="W23"/>
      <c r="X23"/>
      <c r="Y23"/>
      <c r="Z23"/>
    </row>
    <row r="24" spans="2:26" ht="18">
      <c r="B24" s="57"/>
      <c r="C24" s="9" t="s">
        <v>35</v>
      </c>
      <c r="D24" s="22">
        <v>0.7</v>
      </c>
      <c r="E24" s="8" t="s">
        <v>34</v>
      </c>
      <c r="F24" s="4" t="s">
        <v>32</v>
      </c>
      <c r="O24"/>
      <c r="P24"/>
      <c r="Q24"/>
      <c r="R24"/>
      <c r="S24"/>
      <c r="T24"/>
      <c r="U24"/>
      <c r="V24"/>
      <c r="W24"/>
      <c r="X24"/>
      <c r="Y24"/>
      <c r="Z24"/>
    </row>
    <row r="25" spans="2:26" ht="18">
      <c r="B25" s="58"/>
      <c r="C25" s="9" t="s">
        <v>36</v>
      </c>
      <c r="D25" s="63">
        <v>3.8620000000000001</v>
      </c>
      <c r="E25" s="8" t="s">
        <v>37</v>
      </c>
      <c r="F25" s="4" t="s">
        <v>32</v>
      </c>
      <c r="O25"/>
      <c r="P25"/>
      <c r="Q25"/>
      <c r="R25"/>
      <c r="S25"/>
      <c r="T25"/>
      <c r="U25"/>
      <c r="V25"/>
      <c r="W25"/>
      <c r="X25"/>
      <c r="Y25"/>
      <c r="Z25"/>
    </row>
    <row r="26" spans="2:26" ht="18">
      <c r="B26" s="56" t="s">
        <v>38</v>
      </c>
      <c r="C26" s="9" t="s">
        <v>39</v>
      </c>
      <c r="D26" s="23" t="s">
        <v>40</v>
      </c>
      <c r="E26" s="7" t="s">
        <v>13</v>
      </c>
      <c r="F26" s="4" t="s">
        <v>41</v>
      </c>
      <c r="O26"/>
      <c r="P26"/>
      <c r="Q26"/>
      <c r="R26"/>
      <c r="S26"/>
      <c r="T26"/>
      <c r="U26"/>
      <c r="V26"/>
      <c r="W26"/>
      <c r="X26"/>
      <c r="Y26"/>
      <c r="Z26"/>
    </row>
    <row r="27" spans="2:26" ht="18">
      <c r="B27" s="57"/>
      <c r="C27" s="9" t="s">
        <v>42</v>
      </c>
      <c r="D27" s="24">
        <v>30</v>
      </c>
      <c r="E27" s="8" t="s">
        <v>43</v>
      </c>
      <c r="F27" s="4" t="s">
        <v>44</v>
      </c>
      <c r="O27"/>
      <c r="P27"/>
      <c r="Q27"/>
      <c r="R27"/>
      <c r="S27"/>
      <c r="T27"/>
      <c r="U27"/>
      <c r="V27"/>
      <c r="W27"/>
      <c r="X27"/>
      <c r="Y27"/>
      <c r="Z27"/>
    </row>
    <row r="28" spans="2:26" ht="18">
      <c r="B28" s="57"/>
      <c r="C28" s="9" t="s">
        <v>45</v>
      </c>
      <c r="D28" s="24" t="s">
        <v>46</v>
      </c>
      <c r="E28" s="7" t="s">
        <v>13</v>
      </c>
      <c r="F28" s="4" t="s">
        <v>47</v>
      </c>
      <c r="O28"/>
      <c r="P28"/>
      <c r="Q28"/>
      <c r="R28"/>
      <c r="S28"/>
      <c r="T28"/>
      <c r="U28"/>
      <c r="V28"/>
      <c r="W28"/>
      <c r="X28"/>
      <c r="Y28"/>
      <c r="Z28"/>
    </row>
    <row r="29" spans="2:26" ht="18">
      <c r="B29" s="57"/>
      <c r="C29" s="9" t="s">
        <v>48</v>
      </c>
      <c r="D29" s="24" t="s">
        <v>89</v>
      </c>
      <c r="E29" s="7" t="s">
        <v>13</v>
      </c>
      <c r="F29" s="4" t="s">
        <v>44</v>
      </c>
      <c r="O29"/>
      <c r="P29"/>
      <c r="Q29"/>
      <c r="R29"/>
      <c r="S29"/>
      <c r="T29"/>
      <c r="U29"/>
      <c r="V29"/>
      <c r="W29"/>
      <c r="X29"/>
      <c r="Y29"/>
      <c r="Z29"/>
    </row>
    <row r="30" spans="2:26" ht="18">
      <c r="B30" s="57"/>
      <c r="C30" s="9" t="s">
        <v>50</v>
      </c>
      <c r="D30" s="24">
        <v>38.5</v>
      </c>
      <c r="E30" s="8" t="s">
        <v>51</v>
      </c>
      <c r="F30" s="4" t="s">
        <v>52</v>
      </c>
      <c r="O30"/>
      <c r="P30"/>
      <c r="Q30"/>
      <c r="R30"/>
      <c r="S30"/>
      <c r="T30"/>
      <c r="U30"/>
      <c r="V30"/>
      <c r="W30"/>
      <c r="X30"/>
      <c r="Y30"/>
      <c r="Z30"/>
    </row>
    <row r="31" spans="2:26" ht="18">
      <c r="B31" s="57"/>
      <c r="C31" s="9" t="s">
        <v>53</v>
      </c>
      <c r="D31" s="23" t="s">
        <v>89</v>
      </c>
      <c r="E31" s="7" t="s">
        <v>13</v>
      </c>
      <c r="F31" s="4" t="s">
        <v>44</v>
      </c>
      <c r="O31"/>
      <c r="P31"/>
      <c r="Q31"/>
      <c r="R31"/>
      <c r="S31"/>
      <c r="T31"/>
      <c r="U31"/>
      <c r="V31"/>
      <c r="W31"/>
      <c r="X31"/>
      <c r="Y31"/>
      <c r="Z31"/>
    </row>
    <row r="32" spans="2:26" ht="18">
      <c r="B32" s="57"/>
      <c r="C32" s="9" t="s">
        <v>54</v>
      </c>
      <c r="D32" s="23">
        <v>0.96099999999999997</v>
      </c>
      <c r="E32" s="7" t="s">
        <v>13</v>
      </c>
      <c r="F32" s="4" t="s">
        <v>44</v>
      </c>
      <c r="O32"/>
      <c r="P32"/>
      <c r="Q32"/>
      <c r="R32"/>
      <c r="S32"/>
      <c r="T32"/>
      <c r="U32"/>
      <c r="V32"/>
      <c r="W32"/>
      <c r="X32"/>
      <c r="Y32"/>
      <c r="Z32"/>
    </row>
    <row r="33" spans="2:26" ht="18">
      <c r="B33" s="57"/>
      <c r="C33" s="9" t="s">
        <v>55</v>
      </c>
      <c r="D33" s="23" t="s">
        <v>89</v>
      </c>
      <c r="E33" s="8" t="s">
        <v>56</v>
      </c>
      <c r="F33" s="4" t="s">
        <v>44</v>
      </c>
      <c r="O33"/>
      <c r="P33"/>
      <c r="Q33"/>
      <c r="R33"/>
      <c r="S33"/>
      <c r="T33"/>
      <c r="U33"/>
      <c r="V33"/>
      <c r="W33"/>
      <c r="X33"/>
      <c r="Y33"/>
      <c r="Z33"/>
    </row>
    <row r="34" spans="2:26" ht="18">
      <c r="B34" s="58"/>
      <c r="C34" s="9" t="s">
        <v>57</v>
      </c>
      <c r="D34" s="23">
        <v>5400</v>
      </c>
      <c r="E34" s="8" t="s">
        <v>56</v>
      </c>
      <c r="F34" s="4" t="s">
        <v>44</v>
      </c>
      <c r="O34"/>
      <c r="P34"/>
      <c r="Q34"/>
      <c r="R34"/>
      <c r="S34"/>
      <c r="T34"/>
      <c r="U34"/>
      <c r="V34"/>
      <c r="W34"/>
      <c r="X34"/>
      <c r="Y34"/>
      <c r="Z34"/>
    </row>
    <row r="35" spans="2:26" ht="18">
      <c r="B35" s="52" t="s">
        <v>58</v>
      </c>
      <c r="C35" s="9" t="s">
        <v>59</v>
      </c>
      <c r="D35" s="25">
        <f>1/86.96</f>
        <v>1.1499540018399266E-2</v>
      </c>
      <c r="E35" s="7" t="s">
        <v>13</v>
      </c>
      <c r="F35" s="4" t="s">
        <v>44</v>
      </c>
      <c r="O35"/>
      <c r="P35"/>
      <c r="Q35"/>
      <c r="R35"/>
      <c r="S35"/>
      <c r="T35"/>
      <c r="U35"/>
      <c r="V35"/>
      <c r="W35"/>
      <c r="X35"/>
      <c r="Y35"/>
      <c r="Z35"/>
    </row>
    <row r="36" spans="2:26" ht="18">
      <c r="B36" s="53"/>
      <c r="C36" s="9" t="s">
        <v>60</v>
      </c>
      <c r="D36" s="25">
        <f>1/25.94</f>
        <v>3.8550501156515031E-2</v>
      </c>
      <c r="E36" s="7" t="s">
        <v>13</v>
      </c>
      <c r="F36" s="4" t="s">
        <v>44</v>
      </c>
      <c r="O36"/>
      <c r="P36"/>
      <c r="Q36"/>
      <c r="R36"/>
      <c r="S36"/>
      <c r="T36"/>
      <c r="U36"/>
      <c r="V36"/>
      <c r="W36"/>
      <c r="X36"/>
      <c r="Y36"/>
      <c r="Z36"/>
    </row>
    <row r="37" spans="2:26" ht="18">
      <c r="B37" s="59" t="s">
        <v>61</v>
      </c>
      <c r="C37" s="10" t="s">
        <v>62</v>
      </c>
      <c r="D37" s="26"/>
      <c r="E37" s="11" t="s">
        <v>63</v>
      </c>
      <c r="F37" s="4" t="s">
        <v>64</v>
      </c>
      <c r="O37"/>
      <c r="P37"/>
      <c r="Q37"/>
      <c r="R37"/>
      <c r="S37"/>
      <c r="T37"/>
      <c r="U37"/>
      <c r="V37"/>
      <c r="W37"/>
      <c r="X37"/>
      <c r="Y37"/>
      <c r="Z37"/>
    </row>
    <row r="38" spans="2:26" ht="18">
      <c r="B38" s="60"/>
      <c r="C38" s="10" t="s">
        <v>65</v>
      </c>
      <c r="D38" s="26"/>
      <c r="E38" s="11" t="s">
        <v>63</v>
      </c>
      <c r="F38" s="4" t="s">
        <v>66</v>
      </c>
      <c r="O38"/>
      <c r="P38"/>
      <c r="Q38"/>
      <c r="R38"/>
      <c r="S38"/>
      <c r="T38"/>
      <c r="U38"/>
      <c r="V38"/>
      <c r="W38"/>
      <c r="X38"/>
      <c r="Y38"/>
      <c r="Z38"/>
    </row>
    <row r="39" spans="2:26" ht="18">
      <c r="B39" s="60"/>
      <c r="C39" s="10" t="s">
        <v>67</v>
      </c>
      <c r="D39" s="26"/>
      <c r="E39" s="11" t="s">
        <v>63</v>
      </c>
      <c r="F39" s="4" t="s">
        <v>68</v>
      </c>
      <c r="O39"/>
      <c r="P39"/>
      <c r="Q39"/>
      <c r="R39"/>
      <c r="S39"/>
      <c r="T39"/>
      <c r="U39"/>
      <c r="V39"/>
      <c r="W39"/>
      <c r="X39"/>
      <c r="Y39"/>
      <c r="Z39"/>
    </row>
    <row r="40" spans="2:26" ht="18">
      <c r="B40" s="61"/>
      <c r="C40" s="10" t="s">
        <v>69</v>
      </c>
      <c r="D40" s="26"/>
      <c r="E40" s="11" t="s">
        <v>63</v>
      </c>
      <c r="F40" s="4" t="s">
        <v>70</v>
      </c>
      <c r="O40"/>
      <c r="P40"/>
      <c r="Q40"/>
      <c r="R40"/>
      <c r="S40"/>
      <c r="T40"/>
      <c r="U40"/>
      <c r="V40"/>
      <c r="W40"/>
      <c r="X40"/>
      <c r="Y40"/>
      <c r="Z40"/>
    </row>
    <row r="41" spans="2:26" ht="18">
      <c r="C41" s="12" t="s">
        <v>71</v>
      </c>
      <c r="D41"/>
      <c r="E41"/>
      <c r="F41"/>
      <c r="O41"/>
      <c r="P41"/>
      <c r="Q41"/>
      <c r="R41"/>
      <c r="S41"/>
      <c r="T41"/>
      <c r="U41"/>
      <c r="V41"/>
      <c r="W41"/>
      <c r="X41"/>
      <c r="Y41"/>
      <c r="Z41"/>
    </row>
    <row r="42" spans="2:26" ht="18">
      <c r="O42"/>
      <c r="P42"/>
      <c r="Q42"/>
      <c r="R42"/>
      <c r="S42"/>
      <c r="T42"/>
      <c r="U42"/>
      <c r="V42"/>
      <c r="W42"/>
      <c r="X42"/>
      <c r="Y42"/>
      <c r="Z42"/>
    </row>
    <row r="43" spans="2:26" ht="18">
      <c r="G43" s="2" t="s">
        <v>0</v>
      </c>
      <c r="O43"/>
      <c r="P43"/>
      <c r="Q43"/>
      <c r="R43"/>
      <c r="S43"/>
      <c r="T43"/>
      <c r="U43"/>
      <c r="V43"/>
      <c r="W43"/>
      <c r="X43"/>
      <c r="Y43"/>
      <c r="Z43"/>
    </row>
    <row r="44" spans="2:26" ht="19.899999999999999">
      <c r="B44" s="54" t="s">
        <v>72</v>
      </c>
      <c r="C44" s="54"/>
      <c r="D44" s="54"/>
      <c r="E44" s="54"/>
      <c r="F44" s="54"/>
      <c r="O44"/>
      <c r="P44"/>
      <c r="Q44"/>
      <c r="R44"/>
      <c r="S44"/>
      <c r="T44"/>
      <c r="U44"/>
      <c r="V44"/>
      <c r="W44"/>
      <c r="X44"/>
      <c r="Y44"/>
      <c r="Z44"/>
    </row>
    <row r="45" spans="2:26" ht="18">
      <c r="O45"/>
      <c r="P45"/>
      <c r="Q45"/>
      <c r="R45"/>
      <c r="S45"/>
      <c r="T45"/>
      <c r="U45"/>
      <c r="V45"/>
      <c r="W45"/>
      <c r="X45"/>
      <c r="Y45"/>
      <c r="Z45"/>
    </row>
    <row r="46" spans="2:26" ht="18">
      <c r="B46" s="1" t="s">
        <v>2</v>
      </c>
      <c r="O46"/>
      <c r="P46"/>
      <c r="Q46"/>
      <c r="R46"/>
      <c r="S46"/>
      <c r="T46"/>
      <c r="U46"/>
      <c r="V46"/>
      <c r="W46"/>
      <c r="X46"/>
      <c r="Y46"/>
      <c r="Z46"/>
    </row>
    <row r="47" spans="2:26" ht="18">
      <c r="F47" s="3" t="str">
        <f>F5</f>
        <v>スパークス・グリーンエナジー＆テクノロジー株式会社</v>
      </c>
      <c r="O47"/>
      <c r="P47"/>
      <c r="Q47"/>
      <c r="R47"/>
      <c r="S47"/>
      <c r="T47"/>
      <c r="U47"/>
      <c r="V47"/>
      <c r="W47"/>
      <c r="X47"/>
      <c r="Y47"/>
      <c r="Z47"/>
    </row>
    <row r="48" spans="2:26" ht="18">
      <c r="O48"/>
      <c r="P48"/>
      <c r="Q48"/>
      <c r="R48"/>
      <c r="S48"/>
      <c r="T48"/>
      <c r="U48"/>
      <c r="V48"/>
      <c r="W48"/>
      <c r="X48"/>
      <c r="Y48"/>
      <c r="Z48"/>
    </row>
    <row r="49" spans="2:26" ht="18">
      <c r="B49" s="1" t="s">
        <v>4</v>
      </c>
      <c r="O49"/>
      <c r="P49"/>
      <c r="Q49"/>
      <c r="R49"/>
      <c r="S49"/>
      <c r="T49"/>
      <c r="U49"/>
      <c r="V49"/>
      <c r="W49"/>
      <c r="X49"/>
      <c r="Y49"/>
      <c r="Z49"/>
    </row>
    <row r="50" spans="2:26" ht="12" customHeight="1">
      <c r="O50"/>
      <c r="P50"/>
      <c r="Q50"/>
      <c r="R50"/>
      <c r="S50"/>
      <c r="T50"/>
      <c r="U50"/>
      <c r="V50"/>
      <c r="W50"/>
      <c r="X50"/>
      <c r="Y50"/>
      <c r="Z50"/>
    </row>
    <row r="51" spans="2:26" ht="18">
      <c r="B51" s="4" t="s">
        <v>5</v>
      </c>
      <c r="C51" s="19">
        <f>C9</f>
        <v>46017</v>
      </c>
      <c r="D51" s="4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2:26" ht="18">
      <c r="B52" s="4" t="s">
        <v>6</v>
      </c>
      <c r="C52" s="19">
        <f>C10</f>
        <v>46053</v>
      </c>
      <c r="D52" s="4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2:26" ht="18">
      <c r="P53"/>
      <c r="Q53"/>
      <c r="R53"/>
      <c r="S53"/>
      <c r="T53"/>
      <c r="U53"/>
      <c r="V53"/>
    </row>
    <row r="54" spans="2:26" ht="18">
      <c r="P54"/>
      <c r="Q54"/>
      <c r="R54"/>
      <c r="S54"/>
      <c r="T54"/>
      <c r="U54"/>
      <c r="V54"/>
    </row>
    <row r="55" spans="2:26" ht="18">
      <c r="B55" s="1" t="s">
        <v>7</v>
      </c>
      <c r="P55"/>
      <c r="Q55"/>
      <c r="R55"/>
      <c r="S55"/>
      <c r="T55"/>
      <c r="U55"/>
      <c r="V55"/>
    </row>
    <row r="56" spans="2:26" ht="18">
      <c r="B56" s="55" t="s">
        <v>8</v>
      </c>
      <c r="C56" s="55"/>
      <c r="D56" s="55"/>
      <c r="E56" s="55"/>
      <c r="F56" s="5" t="s">
        <v>9</v>
      </c>
      <c r="P56"/>
      <c r="Q56"/>
      <c r="R56"/>
      <c r="S56"/>
      <c r="T56"/>
      <c r="U56"/>
      <c r="V56"/>
    </row>
    <row r="57" spans="2:26" ht="18">
      <c r="B57" s="56" t="s">
        <v>10</v>
      </c>
      <c r="C57" s="6" t="s">
        <v>11</v>
      </c>
      <c r="D57" s="14" t="str">
        <f>D15</f>
        <v>SGET栃木メガソーラー発電所</v>
      </c>
      <c r="E57" s="7" t="s">
        <v>13</v>
      </c>
      <c r="F57" s="4"/>
      <c r="P57"/>
      <c r="Q57"/>
      <c r="R57"/>
      <c r="S57"/>
      <c r="T57"/>
      <c r="U57"/>
      <c r="V57"/>
    </row>
    <row r="58" spans="2:26" ht="18">
      <c r="B58" s="57"/>
      <c r="C58" s="6" t="s">
        <v>14</v>
      </c>
      <c r="D58" s="15" t="str">
        <f>D16</f>
        <v>栃木県那須烏山市志鳥字孫次郎2644番2</v>
      </c>
      <c r="E58" s="7" t="s">
        <v>13</v>
      </c>
      <c r="F58" s="4"/>
      <c r="P58"/>
      <c r="Q58"/>
      <c r="R58"/>
      <c r="S58"/>
      <c r="T58"/>
      <c r="U58"/>
      <c r="V58"/>
    </row>
    <row r="59" spans="2:26" ht="18">
      <c r="B59" s="57"/>
      <c r="C59" s="6" t="s">
        <v>16</v>
      </c>
      <c r="D59" s="15">
        <f>D17</f>
        <v>36.434826000000001</v>
      </c>
      <c r="E59" s="8" t="s">
        <v>17</v>
      </c>
      <c r="F59" s="4" t="s">
        <v>18</v>
      </c>
      <c r="P59"/>
      <c r="Q59"/>
      <c r="R59"/>
      <c r="S59"/>
      <c r="T59"/>
      <c r="U59"/>
      <c r="V59"/>
    </row>
    <row r="60" spans="2:26" ht="18">
      <c r="B60" s="57"/>
      <c r="C60" s="6" t="s">
        <v>19</v>
      </c>
      <c r="D60" s="15">
        <f>D18</f>
        <v>140.060068</v>
      </c>
      <c r="E60" s="8" t="s">
        <v>17</v>
      </c>
      <c r="F60" s="4" t="s">
        <v>20</v>
      </c>
      <c r="P60"/>
      <c r="Q60"/>
      <c r="R60"/>
      <c r="S60"/>
      <c r="T60"/>
      <c r="U60"/>
      <c r="V60"/>
    </row>
    <row r="61" spans="2:26" ht="18">
      <c r="B61" s="58"/>
      <c r="C61" s="6" t="s">
        <v>24</v>
      </c>
      <c r="D61" s="16">
        <f>D20</f>
        <v>6247584</v>
      </c>
      <c r="E61" s="18" t="s">
        <v>25</v>
      </c>
      <c r="F61" s="4"/>
      <c r="P61"/>
      <c r="Q61"/>
      <c r="R61"/>
      <c r="S61"/>
      <c r="T61"/>
      <c r="U61"/>
      <c r="V61"/>
    </row>
    <row r="62" spans="2:26" ht="18">
      <c r="B62" s="59" t="s">
        <v>61</v>
      </c>
      <c r="C62" s="10" t="s">
        <v>62</v>
      </c>
      <c r="D62" s="17"/>
      <c r="E62" s="11" t="s">
        <v>63</v>
      </c>
      <c r="F62" s="4" t="s">
        <v>64</v>
      </c>
      <c r="P62"/>
      <c r="Q62"/>
      <c r="R62"/>
      <c r="S62"/>
      <c r="T62"/>
      <c r="U62"/>
      <c r="V62"/>
    </row>
    <row r="63" spans="2:26">
      <c r="B63" s="60"/>
      <c r="C63" s="10" t="s">
        <v>65</v>
      </c>
      <c r="D63" s="17"/>
      <c r="E63" s="11" t="s">
        <v>63</v>
      </c>
      <c r="F63" s="4" t="s">
        <v>66</v>
      </c>
    </row>
    <row r="64" spans="2:26">
      <c r="B64" s="60"/>
      <c r="C64" s="10" t="s">
        <v>67</v>
      </c>
      <c r="D64" s="17"/>
      <c r="E64" s="11" t="s">
        <v>63</v>
      </c>
      <c r="F64" s="4" t="s">
        <v>68</v>
      </c>
    </row>
    <row r="65" spans="2:9">
      <c r="B65" s="61"/>
      <c r="C65" s="10" t="s">
        <v>69</v>
      </c>
      <c r="D65" s="17"/>
      <c r="E65" s="11" t="s">
        <v>63</v>
      </c>
      <c r="F65" s="4" t="s">
        <v>70</v>
      </c>
    </row>
    <row r="66" spans="2:9" ht="18">
      <c r="C66" s="12"/>
      <c r="D66"/>
      <c r="E66"/>
      <c r="F66"/>
    </row>
    <row r="68" spans="2:9" ht="18">
      <c r="B68"/>
      <c r="C68"/>
      <c r="D68"/>
      <c r="E68"/>
      <c r="F68"/>
      <c r="H68"/>
      <c r="I68"/>
    </row>
    <row r="69" spans="2:9" ht="18">
      <c r="B69"/>
      <c r="C69"/>
      <c r="D69"/>
      <c r="E69"/>
      <c r="F69"/>
      <c r="H69"/>
      <c r="I69"/>
    </row>
    <row r="70" spans="2:9" ht="18">
      <c r="C70"/>
      <c r="D70"/>
      <c r="E70"/>
      <c r="F70"/>
      <c r="G70" s="13"/>
      <c r="H70"/>
      <c r="I70"/>
    </row>
    <row r="71" spans="2:9" ht="18">
      <c r="C71"/>
      <c r="D71"/>
      <c r="E71"/>
      <c r="F71"/>
      <c r="G71" s="13"/>
      <c r="H71"/>
      <c r="I71"/>
    </row>
    <row r="72" spans="2:9" ht="18">
      <c r="C72"/>
      <c r="D72"/>
      <c r="E72"/>
      <c r="F72"/>
      <c r="G72" s="13"/>
      <c r="H72"/>
      <c r="I72"/>
    </row>
    <row r="73" spans="2:9" ht="18">
      <c r="C73"/>
      <c r="D73"/>
      <c r="E73"/>
      <c r="F73"/>
      <c r="G73" s="13"/>
      <c r="H73"/>
      <c r="I73"/>
    </row>
    <row r="74" spans="2:9" ht="18">
      <c r="C74"/>
      <c r="D74"/>
      <c r="E74"/>
      <c r="F74"/>
      <c r="G74" s="13"/>
      <c r="H74"/>
      <c r="I74"/>
    </row>
    <row r="75" spans="2:9" ht="18">
      <c r="C75"/>
      <c r="D75"/>
      <c r="E75"/>
      <c r="F75"/>
      <c r="G75" s="13"/>
      <c r="H75"/>
      <c r="I75"/>
    </row>
    <row r="76" spans="2:9" ht="18">
      <c r="C76"/>
      <c r="D76"/>
      <c r="E76"/>
      <c r="F76"/>
    </row>
    <row r="77" spans="2:9" ht="18">
      <c r="C77"/>
      <c r="D77"/>
      <c r="E77"/>
      <c r="F77"/>
    </row>
    <row r="78" spans="2:9" ht="18">
      <c r="C78"/>
      <c r="D78"/>
      <c r="E78"/>
      <c r="F78"/>
    </row>
    <row r="79" spans="2:9" ht="18">
      <c r="C79"/>
      <c r="D79"/>
      <c r="E79"/>
      <c r="F79"/>
    </row>
    <row r="80" spans="2:9" ht="18">
      <c r="C80"/>
      <c r="D80"/>
      <c r="E80"/>
      <c r="F80"/>
    </row>
    <row r="81" spans="2:6" ht="18">
      <c r="C81"/>
      <c r="D81"/>
      <c r="E81"/>
      <c r="F81"/>
    </row>
    <row r="82" spans="2:6" ht="18">
      <c r="C82"/>
      <c r="D82"/>
      <c r="E82"/>
      <c r="F82"/>
    </row>
    <row r="83" spans="2:6" ht="18">
      <c r="C83"/>
      <c r="D83"/>
      <c r="E83"/>
      <c r="F83"/>
    </row>
    <row r="84" spans="2:6" ht="18">
      <c r="C84"/>
      <c r="D84"/>
      <c r="E84"/>
      <c r="F84"/>
    </row>
    <row r="85" spans="2:6" ht="18">
      <c r="C85"/>
      <c r="D85"/>
      <c r="E85"/>
      <c r="F85"/>
    </row>
    <row r="86" spans="2:6" ht="18">
      <c r="C86"/>
      <c r="D86"/>
      <c r="E86"/>
      <c r="F86"/>
    </row>
    <row r="87" spans="2:6" ht="18">
      <c r="C87"/>
      <c r="D87"/>
      <c r="E87"/>
      <c r="F87"/>
    </row>
    <row r="88" spans="2:6" ht="18">
      <c r="C88"/>
      <c r="D88"/>
      <c r="E88"/>
      <c r="F88"/>
    </row>
    <row r="89" spans="2:6" ht="18">
      <c r="C89"/>
      <c r="D89"/>
      <c r="E89"/>
      <c r="F89"/>
    </row>
    <row r="90" spans="2:6" ht="18">
      <c r="C90"/>
      <c r="D90"/>
      <c r="E90"/>
      <c r="F90"/>
    </row>
    <row r="91" spans="2:6" ht="18">
      <c r="C91"/>
      <c r="D91"/>
      <c r="E91"/>
      <c r="F91"/>
    </row>
    <row r="92" spans="2:6" ht="18">
      <c r="C92"/>
      <c r="D92"/>
      <c r="E92"/>
      <c r="F92"/>
    </row>
    <row r="93" spans="2:6" ht="18">
      <c r="C93"/>
      <c r="D93"/>
      <c r="E93"/>
      <c r="F93"/>
    </row>
    <row r="94" spans="2:6" ht="18">
      <c r="C94"/>
      <c r="D94"/>
      <c r="E94"/>
      <c r="F94"/>
    </row>
    <row r="95" spans="2:6" ht="18">
      <c r="C95"/>
      <c r="D95"/>
      <c r="E95"/>
      <c r="F95"/>
    </row>
    <row r="96" spans="2:6" ht="18">
      <c r="B96"/>
      <c r="C96"/>
      <c r="D96"/>
      <c r="E96"/>
      <c r="F96"/>
    </row>
    <row r="97" spans="2:6" ht="13.5" customHeight="1">
      <c r="B97"/>
      <c r="C97"/>
      <c r="D97"/>
      <c r="E97"/>
      <c r="F97"/>
    </row>
    <row r="98" spans="2:6" ht="18">
      <c r="B98"/>
      <c r="C98"/>
      <c r="D98"/>
      <c r="E98"/>
      <c r="F98"/>
    </row>
    <row r="99" spans="2:6" ht="18">
      <c r="B99"/>
      <c r="C99"/>
      <c r="D99"/>
      <c r="E99"/>
      <c r="F99"/>
    </row>
    <row r="100" spans="2:6" ht="18">
      <c r="B100"/>
      <c r="C100"/>
      <c r="D100"/>
      <c r="E100"/>
      <c r="F100"/>
    </row>
    <row r="101" spans="2:6" ht="18">
      <c r="B101"/>
      <c r="C101"/>
      <c r="D101"/>
      <c r="E101"/>
      <c r="F101"/>
    </row>
    <row r="102" spans="2:6" ht="18">
      <c r="B102"/>
      <c r="C102"/>
      <c r="D102"/>
      <c r="E102"/>
      <c r="F102"/>
    </row>
    <row r="103" spans="2:6" ht="18">
      <c r="B103"/>
      <c r="C103"/>
      <c r="D103"/>
      <c r="E103"/>
      <c r="F103"/>
    </row>
    <row r="104" spans="2:6" ht="18">
      <c r="B104"/>
      <c r="C104"/>
      <c r="D104"/>
      <c r="E104"/>
      <c r="F104"/>
    </row>
    <row r="105" spans="2:6" ht="18">
      <c r="B105"/>
      <c r="C105"/>
      <c r="D105"/>
      <c r="E105"/>
      <c r="F105"/>
    </row>
  </sheetData>
  <mergeCells count="11">
    <mergeCell ref="B37:B40"/>
    <mergeCell ref="B44:F44"/>
    <mergeCell ref="B56:E56"/>
    <mergeCell ref="B57:B61"/>
    <mergeCell ref="B62:B65"/>
    <mergeCell ref="B35:B36"/>
    <mergeCell ref="B2:F2"/>
    <mergeCell ref="B14:E14"/>
    <mergeCell ref="B15:B20"/>
    <mergeCell ref="B21:B25"/>
    <mergeCell ref="B26:B34"/>
  </mergeCells>
  <phoneticPr fontId="3"/>
  <dataValidations count="3">
    <dataValidation type="list" allowBlank="1" showInputMessage="1" showErrorMessage="1" sqref="D28" xr:uid="{65FD1EF9-8C01-42A7-95E8-E534A20C6E99}">
      <formula1>"Ⅰ,Ⅱ,Ⅲ,Ⅳ"</formula1>
    </dataValidation>
    <dataValidation type="list" allowBlank="1" showInputMessage="1" showErrorMessage="1" sqref="D21" xr:uid="{D079D582-EA44-4EC0-9C41-6A73D56006C2}">
      <formula1>"極めて重要,通常"</formula1>
    </dataValidation>
    <dataValidation type="list" allowBlank="1" showInputMessage="1" showErrorMessage="1" sqref="D26" xr:uid="{9DCADD71-6531-47F5-9715-49594578A0E9}">
      <formula1>"JIS-C8955(2004年版),JIS-C8955(2017年版),NEDOガイドライン(2019年版)"</formula1>
    </dataValidation>
  </dataValidations>
  <pageMargins left="0.25" right="0.25" top="0.75" bottom="0.75" header="0.3" footer="0.3"/>
  <pageSetup paperSize="9" scale="59" orientation="portrait" r:id="rId1"/>
  <colBreaks count="1" manualBreakCount="1">
    <brk id="1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51BA-2236-4FF7-89AB-1B7AAA33E02A}">
  <sheetPr>
    <tabColor rgb="FF00B050"/>
    <pageSetUpPr fitToPage="1"/>
  </sheetPr>
  <dimension ref="B1:Z105"/>
  <sheetViews>
    <sheetView showOutlineSymbols="0" view="pageBreakPreview" topLeftCell="A18" zoomScale="80" zoomScaleNormal="100" zoomScaleSheetLayoutView="80" workbookViewId="0">
      <selection activeCell="D25" sqref="D25"/>
    </sheetView>
  </sheetViews>
  <sheetFormatPr defaultColWidth="9" defaultRowHeight="16.149999999999999"/>
  <cols>
    <col min="1" max="1" width="7.125" style="1" customWidth="1"/>
    <col min="2" max="2" width="10.75" style="1" customWidth="1"/>
    <col min="3" max="3" width="24.25" style="1" customWidth="1"/>
    <col min="4" max="4" width="25.875" style="1" bestFit="1" customWidth="1"/>
    <col min="5" max="5" width="6.375" style="1" customWidth="1"/>
    <col min="6" max="6" width="61.75" style="1" customWidth="1"/>
    <col min="7" max="7" width="8.25" style="1" customWidth="1"/>
    <col min="8" max="15" width="10.75" style="1" customWidth="1"/>
    <col min="16" max="17" width="9" style="1"/>
    <col min="18" max="18" width="10.75" style="1" bestFit="1" customWidth="1"/>
    <col min="19" max="20" width="10.5" style="1" customWidth="1"/>
    <col min="21" max="16384" width="9" style="1"/>
  </cols>
  <sheetData>
    <row r="1" spans="2:26">
      <c r="G1" s="2" t="s">
        <v>0</v>
      </c>
    </row>
    <row r="2" spans="2:26" ht="19.899999999999999">
      <c r="B2" s="54" t="s">
        <v>1</v>
      </c>
      <c r="C2" s="54"/>
      <c r="D2" s="54"/>
      <c r="E2" s="54"/>
      <c r="F2" s="54"/>
    </row>
    <row r="4" spans="2:26">
      <c r="B4" s="1" t="s">
        <v>2</v>
      </c>
    </row>
    <row r="5" spans="2:26">
      <c r="F5" s="3" t="s">
        <v>3</v>
      </c>
    </row>
    <row r="7" spans="2:26">
      <c r="B7" s="1" t="s">
        <v>4</v>
      </c>
    </row>
    <row r="9" spans="2:26">
      <c r="B9" s="4" t="s">
        <v>5</v>
      </c>
      <c r="C9" s="19">
        <v>46017</v>
      </c>
      <c r="D9" s="4"/>
    </row>
    <row r="10" spans="2:26">
      <c r="B10" s="4" t="s">
        <v>6</v>
      </c>
      <c r="C10" s="19">
        <v>46053</v>
      </c>
      <c r="D10" s="4"/>
    </row>
    <row r="13" spans="2:26" ht="18">
      <c r="B13" s="1" t="s">
        <v>7</v>
      </c>
      <c r="O13"/>
      <c r="P13"/>
      <c r="Q13"/>
      <c r="R13"/>
      <c r="S13"/>
      <c r="T13"/>
      <c r="U13"/>
      <c r="V13"/>
      <c r="W13"/>
      <c r="X13"/>
      <c r="Y13"/>
      <c r="Z13"/>
    </row>
    <row r="14" spans="2:26" ht="18">
      <c r="B14" s="55" t="s">
        <v>8</v>
      </c>
      <c r="C14" s="55"/>
      <c r="D14" s="55"/>
      <c r="E14" s="55"/>
      <c r="F14" s="5" t="s">
        <v>9</v>
      </c>
      <c r="O14"/>
      <c r="P14"/>
      <c r="Q14"/>
      <c r="R14"/>
      <c r="S14"/>
      <c r="T14"/>
      <c r="U14"/>
      <c r="V14"/>
      <c r="W14"/>
      <c r="X14"/>
      <c r="Y14"/>
      <c r="Z14"/>
    </row>
    <row r="15" spans="2:26" ht="18">
      <c r="B15" s="56" t="s">
        <v>10</v>
      </c>
      <c r="C15" s="6" t="s">
        <v>11</v>
      </c>
      <c r="D15" s="14" t="s">
        <v>90</v>
      </c>
      <c r="E15" s="7" t="s">
        <v>13</v>
      </c>
      <c r="F15" s="4"/>
      <c r="O15"/>
      <c r="P15"/>
      <c r="Q15"/>
      <c r="R15"/>
      <c r="S15"/>
      <c r="T15"/>
      <c r="U15"/>
      <c r="V15"/>
      <c r="W15"/>
      <c r="X15"/>
      <c r="Y15"/>
      <c r="Z15"/>
    </row>
    <row r="16" spans="2:26" ht="18">
      <c r="B16" s="57"/>
      <c r="C16" s="6" t="s">
        <v>14</v>
      </c>
      <c r="D16" s="15" t="s">
        <v>91</v>
      </c>
      <c r="E16" s="7" t="s">
        <v>13</v>
      </c>
      <c r="F16" s="4"/>
      <c r="O16"/>
      <c r="P16"/>
      <c r="Q16"/>
      <c r="R16"/>
      <c r="S16"/>
      <c r="T16"/>
      <c r="U16"/>
      <c r="V16"/>
      <c r="W16"/>
      <c r="X16"/>
      <c r="Y16"/>
      <c r="Z16"/>
    </row>
    <row r="17" spans="2:26" ht="18">
      <c r="B17" s="57"/>
      <c r="C17" s="6" t="s">
        <v>16</v>
      </c>
      <c r="D17" s="15">
        <v>35.595640000000003</v>
      </c>
      <c r="E17" s="8" t="s">
        <v>17</v>
      </c>
      <c r="F17" s="4" t="s">
        <v>18</v>
      </c>
      <c r="O17"/>
      <c r="P17"/>
      <c r="Q17"/>
      <c r="R17"/>
      <c r="S17"/>
      <c r="T17"/>
      <c r="U17"/>
      <c r="V17"/>
      <c r="W17"/>
      <c r="X17"/>
      <c r="Y17"/>
      <c r="Z17"/>
    </row>
    <row r="18" spans="2:26" ht="18">
      <c r="B18" s="57"/>
      <c r="C18" s="6" t="s">
        <v>19</v>
      </c>
      <c r="D18" s="15">
        <v>140.30144000000001</v>
      </c>
      <c r="E18" s="8" t="s">
        <v>17</v>
      </c>
      <c r="F18" s="4" t="s">
        <v>20</v>
      </c>
      <c r="O18"/>
      <c r="P18"/>
      <c r="Q18"/>
      <c r="R18"/>
      <c r="S18"/>
      <c r="T18"/>
      <c r="U18"/>
      <c r="V18"/>
      <c r="W18"/>
      <c r="X18"/>
      <c r="Y18"/>
      <c r="Z18"/>
    </row>
    <row r="19" spans="2:26" ht="18">
      <c r="B19" s="57"/>
      <c r="C19" s="6" t="s">
        <v>21</v>
      </c>
      <c r="D19" s="27">
        <v>42522</v>
      </c>
      <c r="E19" s="7" t="s">
        <v>22</v>
      </c>
      <c r="F19" s="4" t="s">
        <v>23</v>
      </c>
      <c r="O19"/>
      <c r="P19"/>
      <c r="Q19"/>
      <c r="R19"/>
      <c r="S19"/>
      <c r="T19"/>
      <c r="U19"/>
      <c r="V19"/>
      <c r="W19"/>
      <c r="X19"/>
      <c r="Y19"/>
      <c r="Z19"/>
    </row>
    <row r="20" spans="2:26" ht="18">
      <c r="B20" s="58"/>
      <c r="C20" s="6" t="s">
        <v>24</v>
      </c>
      <c r="D20" s="20">
        <v>2049408</v>
      </c>
      <c r="E20" s="18" t="s">
        <v>25</v>
      </c>
      <c r="F20" s="4"/>
      <c r="O20"/>
      <c r="P20"/>
      <c r="Q20"/>
      <c r="R20"/>
      <c r="S20"/>
      <c r="T20"/>
      <c r="U20"/>
      <c r="V20"/>
      <c r="W20"/>
      <c r="X20"/>
      <c r="Y20"/>
      <c r="Z20"/>
    </row>
    <row r="21" spans="2:26" ht="18">
      <c r="B21" s="56" t="s">
        <v>26</v>
      </c>
      <c r="C21" s="6" t="s">
        <v>27</v>
      </c>
      <c r="D21" s="21" t="s">
        <v>28</v>
      </c>
      <c r="E21" s="7" t="s">
        <v>13</v>
      </c>
      <c r="F21" s="4" t="s">
        <v>29</v>
      </c>
      <c r="O21"/>
      <c r="P21"/>
      <c r="Q21"/>
      <c r="R21"/>
      <c r="S21"/>
      <c r="T21"/>
      <c r="U21"/>
      <c r="V21"/>
      <c r="W21"/>
      <c r="X21"/>
      <c r="Y21"/>
      <c r="Z21"/>
    </row>
    <row r="22" spans="2:26" ht="18">
      <c r="B22" s="57"/>
      <c r="C22" s="9" t="s">
        <v>30</v>
      </c>
      <c r="D22" s="21">
        <v>10</v>
      </c>
      <c r="E22" s="8" t="s">
        <v>31</v>
      </c>
      <c r="F22" s="4" t="s">
        <v>32</v>
      </c>
      <c r="O22"/>
      <c r="P22"/>
      <c r="Q22"/>
      <c r="R22"/>
      <c r="S22"/>
      <c r="T22"/>
      <c r="U22"/>
      <c r="V22"/>
      <c r="W22"/>
      <c r="X22"/>
      <c r="Y22"/>
      <c r="Z22"/>
    </row>
    <row r="23" spans="2:26" ht="18">
      <c r="B23" s="57"/>
      <c r="C23" s="9" t="s">
        <v>33</v>
      </c>
      <c r="D23" s="22">
        <f>(1.924-0.6)/2+0.6</f>
        <v>1.262</v>
      </c>
      <c r="E23" s="8" t="s">
        <v>34</v>
      </c>
      <c r="F23" s="4" t="s">
        <v>32</v>
      </c>
      <c r="O23"/>
      <c r="P23"/>
      <c r="Q23"/>
      <c r="R23"/>
      <c r="S23"/>
      <c r="T23"/>
      <c r="U23"/>
      <c r="V23"/>
      <c r="W23"/>
      <c r="X23"/>
      <c r="Y23"/>
      <c r="Z23"/>
    </row>
    <row r="24" spans="2:26" ht="18">
      <c r="B24" s="57"/>
      <c r="C24" s="9" t="s">
        <v>35</v>
      </c>
      <c r="D24" s="22">
        <v>0.6</v>
      </c>
      <c r="E24" s="8" t="s">
        <v>34</v>
      </c>
      <c r="F24" s="4" t="s">
        <v>32</v>
      </c>
      <c r="O24"/>
      <c r="P24"/>
      <c r="Q24"/>
      <c r="R24"/>
      <c r="S24"/>
      <c r="T24"/>
      <c r="U24"/>
      <c r="V24"/>
      <c r="W24"/>
      <c r="X24"/>
      <c r="Y24"/>
      <c r="Z24"/>
    </row>
    <row r="25" spans="2:26" ht="18">
      <c r="B25" s="58"/>
      <c r="C25" s="9" t="s">
        <v>36</v>
      </c>
      <c r="D25" s="63">
        <v>3.9369999999999998</v>
      </c>
      <c r="E25" s="8" t="s">
        <v>37</v>
      </c>
      <c r="F25" s="4" t="s">
        <v>32</v>
      </c>
      <c r="O25"/>
      <c r="P25"/>
      <c r="Q25"/>
      <c r="R25"/>
      <c r="S25"/>
      <c r="T25"/>
      <c r="U25"/>
      <c r="V25"/>
      <c r="W25"/>
      <c r="X25"/>
      <c r="Y25"/>
      <c r="Z25"/>
    </row>
    <row r="26" spans="2:26" ht="18">
      <c r="B26" s="56" t="s">
        <v>38</v>
      </c>
      <c r="C26" s="9" t="s">
        <v>39</v>
      </c>
      <c r="D26" s="23" t="s">
        <v>40</v>
      </c>
      <c r="E26" s="7" t="s">
        <v>13</v>
      </c>
      <c r="F26" s="4" t="s">
        <v>41</v>
      </c>
      <c r="O26"/>
      <c r="P26"/>
      <c r="Q26"/>
      <c r="R26"/>
      <c r="S26"/>
      <c r="T26"/>
      <c r="U26"/>
      <c r="V26"/>
      <c r="W26"/>
      <c r="X26"/>
      <c r="Y26"/>
      <c r="Z26"/>
    </row>
    <row r="27" spans="2:26" ht="18">
      <c r="B27" s="57"/>
      <c r="C27" s="9" t="s">
        <v>42</v>
      </c>
      <c r="D27" s="24">
        <v>34</v>
      </c>
      <c r="E27" s="8" t="s">
        <v>43</v>
      </c>
      <c r="F27" s="4" t="s">
        <v>44</v>
      </c>
      <c r="O27"/>
      <c r="P27"/>
      <c r="Q27"/>
      <c r="R27"/>
      <c r="S27"/>
      <c r="T27"/>
      <c r="U27"/>
      <c r="V27"/>
      <c r="W27"/>
      <c r="X27"/>
      <c r="Y27"/>
      <c r="Z27"/>
    </row>
    <row r="28" spans="2:26" ht="18">
      <c r="B28" s="57"/>
      <c r="C28" s="9" t="s">
        <v>45</v>
      </c>
      <c r="D28" s="24" t="s">
        <v>46</v>
      </c>
      <c r="E28" s="7" t="s">
        <v>13</v>
      </c>
      <c r="F28" s="4" t="s">
        <v>47</v>
      </c>
      <c r="O28"/>
      <c r="P28"/>
      <c r="Q28"/>
      <c r="R28"/>
      <c r="S28"/>
      <c r="T28"/>
      <c r="U28"/>
      <c r="V28"/>
      <c r="W28"/>
      <c r="X28"/>
      <c r="Y28"/>
      <c r="Z28"/>
    </row>
    <row r="29" spans="2:26" ht="18">
      <c r="B29" s="57"/>
      <c r="C29" s="9" t="s">
        <v>48</v>
      </c>
      <c r="D29" s="24" t="s">
        <v>49</v>
      </c>
      <c r="E29" s="7" t="s">
        <v>13</v>
      </c>
      <c r="F29" s="4" t="s">
        <v>44</v>
      </c>
      <c r="O29"/>
      <c r="P29"/>
      <c r="Q29"/>
      <c r="R29"/>
      <c r="S29"/>
      <c r="T29"/>
      <c r="U29"/>
      <c r="V29"/>
      <c r="W29"/>
      <c r="X29"/>
      <c r="Y29"/>
      <c r="Z29"/>
    </row>
    <row r="30" spans="2:26" ht="18">
      <c r="B30" s="57"/>
      <c r="C30" s="9" t="s">
        <v>50</v>
      </c>
      <c r="D30" s="24">
        <v>30</v>
      </c>
      <c r="E30" s="8" t="s">
        <v>51</v>
      </c>
      <c r="F30" s="4" t="s">
        <v>52</v>
      </c>
      <c r="O30"/>
      <c r="P30"/>
      <c r="Q30"/>
      <c r="R30"/>
      <c r="S30"/>
      <c r="T30"/>
      <c r="U30"/>
      <c r="V30"/>
      <c r="W30"/>
      <c r="X30"/>
      <c r="Y30"/>
      <c r="Z30"/>
    </row>
    <row r="31" spans="2:26" ht="18">
      <c r="B31" s="57"/>
      <c r="C31" s="9" t="s">
        <v>53</v>
      </c>
      <c r="D31" s="23" t="s">
        <v>49</v>
      </c>
      <c r="E31" s="7" t="s">
        <v>13</v>
      </c>
      <c r="F31" s="4" t="s">
        <v>44</v>
      </c>
      <c r="O31"/>
      <c r="P31"/>
      <c r="Q31"/>
      <c r="R31"/>
      <c r="S31"/>
      <c r="T31"/>
      <c r="U31"/>
      <c r="V31"/>
      <c r="W31"/>
      <c r="X31"/>
      <c r="Y31"/>
      <c r="Z31"/>
    </row>
    <row r="32" spans="2:26" ht="18">
      <c r="B32" s="57"/>
      <c r="C32" s="9" t="s">
        <v>54</v>
      </c>
      <c r="D32" s="23">
        <v>0.98299999999999998</v>
      </c>
      <c r="E32" s="7" t="s">
        <v>13</v>
      </c>
      <c r="F32" s="4" t="s">
        <v>44</v>
      </c>
      <c r="O32"/>
      <c r="P32"/>
      <c r="Q32"/>
      <c r="R32"/>
      <c r="S32"/>
      <c r="T32"/>
      <c r="U32"/>
      <c r="V32"/>
      <c r="W32"/>
      <c r="X32"/>
      <c r="Y32"/>
      <c r="Z32"/>
    </row>
    <row r="33" spans="2:26" ht="18">
      <c r="B33" s="57"/>
      <c r="C33" s="9" t="s">
        <v>55</v>
      </c>
      <c r="D33" s="23" t="s">
        <v>49</v>
      </c>
      <c r="E33" s="8" t="s">
        <v>56</v>
      </c>
      <c r="F33" s="4" t="s">
        <v>44</v>
      </c>
      <c r="O33"/>
      <c r="P33"/>
      <c r="Q33"/>
      <c r="R33"/>
      <c r="S33"/>
      <c r="T33"/>
      <c r="U33"/>
      <c r="V33"/>
      <c r="W33"/>
      <c r="X33"/>
      <c r="Y33"/>
      <c r="Z33"/>
    </row>
    <row r="34" spans="2:26" ht="18">
      <c r="B34" s="58"/>
      <c r="C34" s="9" t="s">
        <v>57</v>
      </c>
      <c r="D34" s="23">
        <v>5400</v>
      </c>
      <c r="E34" s="8" t="s">
        <v>56</v>
      </c>
      <c r="F34" s="4" t="s">
        <v>44</v>
      </c>
      <c r="O34"/>
      <c r="P34"/>
      <c r="Q34"/>
      <c r="R34"/>
      <c r="S34"/>
      <c r="T34"/>
      <c r="U34"/>
      <c r="V34"/>
      <c r="W34"/>
      <c r="X34"/>
      <c r="Y34"/>
      <c r="Z34"/>
    </row>
    <row r="35" spans="2:26" ht="18">
      <c r="B35" s="52" t="s">
        <v>58</v>
      </c>
      <c r="C35" s="9" t="s">
        <v>59</v>
      </c>
      <c r="D35" s="32"/>
      <c r="E35" s="7" t="s">
        <v>13</v>
      </c>
      <c r="F35" s="4" t="s">
        <v>44</v>
      </c>
      <c r="O35"/>
      <c r="P35"/>
      <c r="Q35"/>
      <c r="R35"/>
      <c r="S35"/>
      <c r="T35"/>
      <c r="U35"/>
      <c r="V35"/>
      <c r="W35"/>
      <c r="X35"/>
      <c r="Y35"/>
      <c r="Z35"/>
    </row>
    <row r="36" spans="2:26" ht="18">
      <c r="B36" s="53"/>
      <c r="C36" s="9" t="s">
        <v>60</v>
      </c>
      <c r="D36" s="25">
        <v>0.872</v>
      </c>
      <c r="E36" s="7" t="s">
        <v>13</v>
      </c>
      <c r="F36" s="4" t="s">
        <v>44</v>
      </c>
      <c r="O36"/>
      <c r="P36"/>
      <c r="Q36"/>
      <c r="R36"/>
      <c r="S36"/>
      <c r="T36"/>
      <c r="U36"/>
      <c r="V36"/>
      <c r="W36"/>
      <c r="X36"/>
      <c r="Y36"/>
      <c r="Z36"/>
    </row>
    <row r="37" spans="2:26" ht="18">
      <c r="B37" s="59" t="s">
        <v>61</v>
      </c>
      <c r="C37" s="10" t="s">
        <v>62</v>
      </c>
      <c r="D37" s="26"/>
      <c r="E37" s="11" t="s">
        <v>63</v>
      </c>
      <c r="F37" s="4" t="s">
        <v>64</v>
      </c>
      <c r="O37"/>
      <c r="P37"/>
      <c r="Q37"/>
      <c r="R37"/>
      <c r="S37"/>
      <c r="T37"/>
      <c r="U37"/>
      <c r="V37"/>
      <c r="W37"/>
      <c r="X37"/>
      <c r="Y37"/>
      <c r="Z37"/>
    </row>
    <row r="38" spans="2:26" ht="18">
      <c r="B38" s="60"/>
      <c r="C38" s="10" t="s">
        <v>65</v>
      </c>
      <c r="D38" s="26"/>
      <c r="E38" s="11" t="s">
        <v>63</v>
      </c>
      <c r="F38" s="4" t="s">
        <v>66</v>
      </c>
      <c r="O38"/>
      <c r="P38"/>
      <c r="Q38"/>
      <c r="R38"/>
      <c r="S38"/>
      <c r="T38"/>
      <c r="U38"/>
      <c r="V38"/>
      <c r="W38"/>
      <c r="X38"/>
      <c r="Y38"/>
      <c r="Z38"/>
    </row>
    <row r="39" spans="2:26" ht="18">
      <c r="B39" s="60"/>
      <c r="C39" s="10" t="s">
        <v>67</v>
      </c>
      <c r="D39" s="26"/>
      <c r="E39" s="11" t="s">
        <v>63</v>
      </c>
      <c r="F39" s="4" t="s">
        <v>68</v>
      </c>
      <c r="O39"/>
      <c r="P39"/>
      <c r="Q39"/>
      <c r="R39"/>
      <c r="S39"/>
      <c r="T39"/>
      <c r="U39"/>
      <c r="V39"/>
      <c r="W39"/>
      <c r="X39"/>
      <c r="Y39"/>
      <c r="Z39"/>
    </row>
    <row r="40" spans="2:26" ht="18">
      <c r="B40" s="61"/>
      <c r="C40" s="10" t="s">
        <v>69</v>
      </c>
      <c r="D40" s="26"/>
      <c r="E40" s="11" t="s">
        <v>63</v>
      </c>
      <c r="F40" s="4" t="s">
        <v>70</v>
      </c>
      <c r="O40"/>
      <c r="P40"/>
      <c r="Q40"/>
      <c r="R40"/>
      <c r="S40"/>
      <c r="T40"/>
      <c r="U40"/>
      <c r="V40"/>
      <c r="W40"/>
      <c r="X40"/>
      <c r="Y40"/>
      <c r="Z40"/>
    </row>
    <row r="41" spans="2:26" ht="18">
      <c r="C41" s="12" t="s">
        <v>71</v>
      </c>
      <c r="D41"/>
      <c r="E41"/>
      <c r="F41"/>
      <c r="O41"/>
      <c r="P41"/>
      <c r="Q41"/>
      <c r="R41"/>
      <c r="S41"/>
      <c r="T41"/>
      <c r="U41"/>
      <c r="V41"/>
      <c r="W41"/>
      <c r="X41"/>
      <c r="Y41"/>
      <c r="Z41"/>
    </row>
    <row r="42" spans="2:26" ht="18">
      <c r="O42"/>
      <c r="P42"/>
      <c r="Q42"/>
      <c r="R42"/>
      <c r="S42"/>
      <c r="T42"/>
      <c r="U42"/>
      <c r="V42"/>
      <c r="W42"/>
      <c r="X42"/>
      <c r="Y42"/>
      <c r="Z42"/>
    </row>
    <row r="43" spans="2:26" ht="18">
      <c r="G43" s="2" t="s">
        <v>0</v>
      </c>
      <c r="O43"/>
      <c r="P43"/>
      <c r="Q43"/>
      <c r="R43"/>
      <c r="S43"/>
      <c r="T43"/>
      <c r="U43"/>
      <c r="V43"/>
      <c r="W43"/>
      <c r="X43"/>
      <c r="Y43"/>
      <c r="Z43"/>
    </row>
    <row r="44" spans="2:26" ht="19.899999999999999">
      <c r="B44" s="54" t="s">
        <v>72</v>
      </c>
      <c r="C44" s="54"/>
      <c r="D44" s="54"/>
      <c r="E44" s="54"/>
      <c r="F44" s="54"/>
      <c r="O44"/>
      <c r="P44"/>
      <c r="Q44"/>
      <c r="R44"/>
      <c r="S44"/>
      <c r="T44"/>
      <c r="U44"/>
      <c r="V44"/>
      <c r="W44"/>
      <c r="X44"/>
      <c r="Y44"/>
      <c r="Z44"/>
    </row>
    <row r="45" spans="2:26" ht="18">
      <c r="O45"/>
      <c r="P45"/>
      <c r="Q45"/>
      <c r="R45"/>
      <c r="S45"/>
      <c r="T45"/>
      <c r="U45"/>
      <c r="V45"/>
      <c r="W45"/>
      <c r="X45"/>
      <c r="Y45"/>
      <c r="Z45"/>
    </row>
    <row r="46" spans="2:26" ht="18">
      <c r="B46" s="1" t="s">
        <v>2</v>
      </c>
      <c r="O46"/>
      <c r="P46"/>
      <c r="Q46"/>
      <c r="R46"/>
      <c r="S46"/>
      <c r="T46"/>
      <c r="U46"/>
      <c r="V46"/>
      <c r="W46"/>
      <c r="X46"/>
      <c r="Y46"/>
      <c r="Z46"/>
    </row>
    <row r="47" spans="2:26" ht="18">
      <c r="F47" s="3" t="str">
        <f>F5</f>
        <v>スパークス・グリーンエナジー＆テクノロジー株式会社</v>
      </c>
      <c r="O47"/>
      <c r="P47"/>
      <c r="Q47"/>
      <c r="R47"/>
      <c r="S47"/>
      <c r="T47"/>
      <c r="U47"/>
      <c r="V47"/>
      <c r="W47"/>
      <c r="X47"/>
      <c r="Y47"/>
      <c r="Z47"/>
    </row>
    <row r="48" spans="2:26" ht="18">
      <c r="O48"/>
      <c r="P48"/>
      <c r="Q48"/>
      <c r="R48"/>
      <c r="S48"/>
      <c r="T48"/>
      <c r="U48"/>
      <c r="V48"/>
      <c r="W48"/>
      <c r="X48"/>
      <c r="Y48"/>
      <c r="Z48"/>
    </row>
    <row r="49" spans="2:26" ht="18">
      <c r="B49" s="1" t="s">
        <v>4</v>
      </c>
      <c r="O49"/>
      <c r="P49"/>
      <c r="Q49"/>
      <c r="R49"/>
      <c r="S49"/>
      <c r="T49"/>
      <c r="U49"/>
      <c r="V49"/>
      <c r="W49"/>
      <c r="X49"/>
      <c r="Y49"/>
      <c r="Z49"/>
    </row>
    <row r="50" spans="2:26" ht="12" customHeight="1">
      <c r="O50"/>
      <c r="P50"/>
      <c r="Q50"/>
      <c r="R50"/>
      <c r="S50"/>
      <c r="T50"/>
      <c r="U50"/>
      <c r="V50"/>
      <c r="W50"/>
      <c r="X50"/>
      <c r="Y50"/>
      <c r="Z50"/>
    </row>
    <row r="51" spans="2:26" ht="18">
      <c r="B51" s="4" t="s">
        <v>5</v>
      </c>
      <c r="C51" s="19">
        <f>C9</f>
        <v>46017</v>
      </c>
      <c r="D51" s="4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2:26" ht="18">
      <c r="B52" s="4" t="s">
        <v>6</v>
      </c>
      <c r="C52" s="19">
        <f>C10</f>
        <v>46053</v>
      </c>
      <c r="D52" s="4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2:26" ht="18">
      <c r="P53"/>
      <c r="Q53"/>
      <c r="R53"/>
      <c r="S53"/>
      <c r="T53"/>
      <c r="U53"/>
      <c r="V53"/>
    </row>
    <row r="54" spans="2:26" ht="18">
      <c r="P54"/>
      <c r="Q54"/>
      <c r="R54"/>
      <c r="S54"/>
      <c r="T54"/>
      <c r="U54"/>
      <c r="V54"/>
    </row>
    <row r="55" spans="2:26" ht="18">
      <c r="B55" s="1" t="s">
        <v>7</v>
      </c>
      <c r="P55"/>
      <c r="Q55"/>
      <c r="R55"/>
      <c r="S55"/>
      <c r="T55"/>
      <c r="U55"/>
      <c r="V55"/>
    </row>
    <row r="56" spans="2:26" ht="18">
      <c r="B56" s="55" t="s">
        <v>8</v>
      </c>
      <c r="C56" s="55"/>
      <c r="D56" s="55"/>
      <c r="E56" s="55"/>
      <c r="F56" s="5" t="s">
        <v>9</v>
      </c>
      <c r="P56"/>
      <c r="Q56"/>
      <c r="R56"/>
      <c r="S56"/>
      <c r="T56"/>
      <c r="U56"/>
      <c r="V56"/>
    </row>
    <row r="57" spans="2:26" ht="18">
      <c r="B57" s="56" t="s">
        <v>10</v>
      </c>
      <c r="C57" s="6" t="s">
        <v>11</v>
      </c>
      <c r="D57" s="14" t="str">
        <f>D15</f>
        <v>SGET行方メガソーラー発電所</v>
      </c>
      <c r="E57" s="7" t="s">
        <v>13</v>
      </c>
      <c r="F57" s="4"/>
      <c r="P57"/>
      <c r="Q57"/>
      <c r="R57"/>
      <c r="S57"/>
      <c r="T57"/>
      <c r="U57"/>
      <c r="V57"/>
    </row>
    <row r="58" spans="2:26" ht="18">
      <c r="B58" s="57"/>
      <c r="C58" s="6" t="s">
        <v>14</v>
      </c>
      <c r="D58" s="15" t="str">
        <f>D16</f>
        <v>茨城県行方市大字麻生字水喰2936-20ほか</v>
      </c>
      <c r="E58" s="7" t="s">
        <v>13</v>
      </c>
      <c r="F58" s="4"/>
      <c r="P58"/>
      <c r="Q58"/>
      <c r="R58"/>
      <c r="S58"/>
      <c r="T58"/>
      <c r="U58"/>
      <c r="V58"/>
    </row>
    <row r="59" spans="2:26" ht="18">
      <c r="B59" s="57"/>
      <c r="C59" s="6" t="s">
        <v>16</v>
      </c>
      <c r="D59" s="15">
        <f>D17</f>
        <v>35.595640000000003</v>
      </c>
      <c r="E59" s="8" t="s">
        <v>17</v>
      </c>
      <c r="F59" s="4" t="s">
        <v>18</v>
      </c>
      <c r="P59"/>
      <c r="Q59"/>
      <c r="R59"/>
      <c r="S59"/>
      <c r="T59"/>
      <c r="U59"/>
      <c r="V59"/>
    </row>
    <row r="60" spans="2:26" ht="18">
      <c r="B60" s="57"/>
      <c r="C60" s="6" t="s">
        <v>19</v>
      </c>
      <c r="D60" s="15">
        <f>D18</f>
        <v>140.30144000000001</v>
      </c>
      <c r="E60" s="8" t="s">
        <v>17</v>
      </c>
      <c r="F60" s="4" t="s">
        <v>20</v>
      </c>
      <c r="P60"/>
      <c r="Q60"/>
      <c r="R60"/>
      <c r="S60"/>
      <c r="T60"/>
      <c r="U60"/>
      <c r="V60"/>
    </row>
    <row r="61" spans="2:26" ht="18">
      <c r="B61" s="58"/>
      <c r="C61" s="6" t="s">
        <v>24</v>
      </c>
      <c r="D61" s="16">
        <f>D20</f>
        <v>2049408</v>
      </c>
      <c r="E61" s="18" t="s">
        <v>25</v>
      </c>
      <c r="F61" s="4"/>
      <c r="P61"/>
      <c r="Q61"/>
      <c r="R61"/>
      <c r="S61"/>
      <c r="T61"/>
      <c r="U61"/>
      <c r="V61"/>
    </row>
    <row r="62" spans="2:26" ht="18">
      <c r="B62" s="59" t="s">
        <v>61</v>
      </c>
      <c r="C62" s="10" t="s">
        <v>62</v>
      </c>
      <c r="D62" s="17"/>
      <c r="E62" s="11" t="s">
        <v>63</v>
      </c>
      <c r="F62" s="4" t="s">
        <v>64</v>
      </c>
      <c r="P62"/>
      <c r="Q62"/>
      <c r="R62"/>
      <c r="S62"/>
      <c r="T62"/>
      <c r="U62"/>
      <c r="V62"/>
    </row>
    <row r="63" spans="2:26">
      <c r="B63" s="60"/>
      <c r="C63" s="10" t="s">
        <v>65</v>
      </c>
      <c r="D63" s="17"/>
      <c r="E63" s="11" t="s">
        <v>63</v>
      </c>
      <c r="F63" s="4" t="s">
        <v>66</v>
      </c>
    </row>
    <row r="64" spans="2:26">
      <c r="B64" s="60"/>
      <c r="C64" s="10" t="s">
        <v>67</v>
      </c>
      <c r="D64" s="17"/>
      <c r="E64" s="11" t="s">
        <v>63</v>
      </c>
      <c r="F64" s="4" t="s">
        <v>68</v>
      </c>
    </row>
    <row r="65" spans="2:9">
      <c r="B65" s="61"/>
      <c r="C65" s="10" t="s">
        <v>69</v>
      </c>
      <c r="D65" s="17"/>
      <c r="E65" s="11" t="s">
        <v>63</v>
      </c>
      <c r="F65" s="4" t="s">
        <v>70</v>
      </c>
    </row>
    <row r="66" spans="2:9" ht="18">
      <c r="C66" s="12"/>
      <c r="D66"/>
      <c r="E66"/>
      <c r="F66"/>
    </row>
    <row r="68" spans="2:9" ht="18">
      <c r="B68"/>
      <c r="C68"/>
      <c r="D68"/>
      <c r="E68"/>
      <c r="F68"/>
      <c r="H68"/>
      <c r="I68"/>
    </row>
    <row r="69" spans="2:9" ht="18">
      <c r="B69"/>
      <c r="C69"/>
      <c r="D69"/>
      <c r="E69"/>
      <c r="F69"/>
      <c r="H69"/>
      <c r="I69"/>
    </row>
    <row r="70" spans="2:9" ht="18">
      <c r="C70"/>
      <c r="D70"/>
      <c r="E70"/>
      <c r="F70"/>
      <c r="G70" s="13"/>
      <c r="H70"/>
      <c r="I70"/>
    </row>
    <row r="71" spans="2:9" ht="18">
      <c r="C71"/>
      <c r="D71"/>
      <c r="E71"/>
      <c r="F71"/>
      <c r="G71" s="13"/>
      <c r="H71"/>
      <c r="I71"/>
    </row>
    <row r="72" spans="2:9" ht="18">
      <c r="C72"/>
      <c r="D72"/>
      <c r="E72"/>
      <c r="F72"/>
      <c r="G72" s="13"/>
      <c r="H72"/>
      <c r="I72"/>
    </row>
    <row r="73" spans="2:9" ht="18">
      <c r="C73"/>
      <c r="D73"/>
      <c r="E73"/>
      <c r="F73"/>
      <c r="G73" s="13"/>
      <c r="H73"/>
      <c r="I73"/>
    </row>
    <row r="74" spans="2:9" ht="18">
      <c r="C74"/>
      <c r="D74"/>
      <c r="E74"/>
      <c r="F74"/>
      <c r="G74" s="13"/>
      <c r="H74"/>
      <c r="I74"/>
    </row>
    <row r="75" spans="2:9" ht="18">
      <c r="C75"/>
      <c r="D75"/>
      <c r="E75"/>
      <c r="F75"/>
      <c r="G75" s="13"/>
      <c r="H75"/>
      <c r="I75"/>
    </row>
    <row r="76" spans="2:9" ht="18">
      <c r="C76"/>
      <c r="D76"/>
      <c r="E76"/>
      <c r="F76"/>
    </row>
    <row r="77" spans="2:9" ht="18">
      <c r="C77"/>
      <c r="D77"/>
      <c r="E77"/>
      <c r="F77"/>
    </row>
    <row r="78" spans="2:9" ht="18">
      <c r="C78"/>
      <c r="D78"/>
      <c r="E78"/>
      <c r="F78"/>
    </row>
    <row r="79" spans="2:9" ht="18">
      <c r="C79"/>
      <c r="D79"/>
      <c r="E79"/>
      <c r="F79"/>
    </row>
    <row r="80" spans="2:9" ht="18">
      <c r="C80"/>
      <c r="D80"/>
      <c r="E80"/>
      <c r="F80"/>
    </row>
    <row r="81" spans="2:6" ht="18">
      <c r="C81"/>
      <c r="D81"/>
      <c r="E81"/>
      <c r="F81"/>
    </row>
    <row r="82" spans="2:6" ht="18">
      <c r="C82"/>
      <c r="D82"/>
      <c r="E82"/>
      <c r="F82"/>
    </row>
    <row r="83" spans="2:6" ht="18">
      <c r="C83"/>
      <c r="D83"/>
      <c r="E83"/>
      <c r="F83"/>
    </row>
    <row r="84" spans="2:6" ht="18">
      <c r="C84"/>
      <c r="D84"/>
      <c r="E84"/>
      <c r="F84"/>
    </row>
    <row r="85" spans="2:6" ht="18">
      <c r="C85"/>
      <c r="D85"/>
      <c r="E85"/>
      <c r="F85"/>
    </row>
    <row r="86" spans="2:6" ht="18">
      <c r="C86"/>
      <c r="D86"/>
      <c r="E86"/>
      <c r="F86"/>
    </row>
    <row r="87" spans="2:6" ht="18">
      <c r="C87"/>
      <c r="D87"/>
      <c r="E87"/>
      <c r="F87"/>
    </row>
    <row r="88" spans="2:6" ht="18">
      <c r="C88"/>
      <c r="D88"/>
      <c r="E88"/>
      <c r="F88"/>
    </row>
    <row r="89" spans="2:6" ht="18">
      <c r="C89"/>
      <c r="D89"/>
      <c r="E89"/>
      <c r="F89"/>
    </row>
    <row r="90" spans="2:6" ht="18">
      <c r="C90"/>
      <c r="D90"/>
      <c r="E90"/>
      <c r="F90"/>
    </row>
    <row r="91" spans="2:6" ht="18">
      <c r="C91"/>
      <c r="D91"/>
      <c r="E91"/>
      <c r="F91"/>
    </row>
    <row r="92" spans="2:6" ht="18">
      <c r="C92"/>
      <c r="D92"/>
      <c r="E92"/>
      <c r="F92"/>
    </row>
    <row r="93" spans="2:6" ht="18">
      <c r="C93"/>
      <c r="D93"/>
      <c r="E93"/>
      <c r="F93"/>
    </row>
    <row r="94" spans="2:6" ht="18">
      <c r="C94"/>
      <c r="D94"/>
      <c r="E94"/>
      <c r="F94"/>
    </row>
    <row r="95" spans="2:6" ht="18">
      <c r="C95"/>
      <c r="D95"/>
      <c r="E95"/>
      <c r="F95"/>
    </row>
    <row r="96" spans="2:6" ht="18">
      <c r="B96"/>
      <c r="C96"/>
      <c r="D96"/>
      <c r="E96"/>
      <c r="F96"/>
    </row>
    <row r="97" spans="2:6" ht="13.5" customHeight="1">
      <c r="B97"/>
      <c r="C97"/>
      <c r="D97"/>
      <c r="E97"/>
      <c r="F97"/>
    </row>
    <row r="98" spans="2:6" ht="18">
      <c r="B98"/>
      <c r="C98"/>
      <c r="D98"/>
      <c r="E98"/>
      <c r="F98"/>
    </row>
    <row r="99" spans="2:6" ht="18">
      <c r="B99"/>
      <c r="C99"/>
      <c r="D99"/>
      <c r="E99"/>
      <c r="F99"/>
    </row>
    <row r="100" spans="2:6" ht="18">
      <c r="B100"/>
      <c r="C100"/>
      <c r="D100"/>
      <c r="E100"/>
      <c r="F100"/>
    </row>
    <row r="101" spans="2:6" ht="18">
      <c r="B101"/>
      <c r="C101"/>
      <c r="D101"/>
      <c r="E101"/>
      <c r="F101"/>
    </row>
    <row r="102" spans="2:6" ht="18">
      <c r="B102"/>
      <c r="C102"/>
      <c r="D102"/>
      <c r="E102"/>
      <c r="F102"/>
    </row>
    <row r="103" spans="2:6" ht="18">
      <c r="B103"/>
      <c r="C103"/>
      <c r="D103"/>
      <c r="E103"/>
      <c r="F103"/>
    </row>
    <row r="104" spans="2:6" ht="18">
      <c r="B104"/>
      <c r="C104"/>
      <c r="D104"/>
      <c r="E104"/>
      <c r="F104"/>
    </row>
    <row r="105" spans="2:6" ht="18">
      <c r="B105"/>
      <c r="C105"/>
      <c r="D105"/>
      <c r="E105"/>
      <c r="F105"/>
    </row>
  </sheetData>
  <mergeCells count="11">
    <mergeCell ref="B37:B40"/>
    <mergeCell ref="B44:F44"/>
    <mergeCell ref="B56:E56"/>
    <mergeCell ref="B57:B61"/>
    <mergeCell ref="B62:B65"/>
    <mergeCell ref="B35:B36"/>
    <mergeCell ref="B2:F2"/>
    <mergeCell ref="B14:E14"/>
    <mergeCell ref="B15:B20"/>
    <mergeCell ref="B21:B25"/>
    <mergeCell ref="B26:B34"/>
  </mergeCells>
  <phoneticPr fontId="3"/>
  <dataValidations count="3">
    <dataValidation type="list" allowBlank="1" showInputMessage="1" showErrorMessage="1" sqref="D26" xr:uid="{41BCFFBA-88D3-4A14-B1E4-D29FF300976F}">
      <formula1>"JIS-C8955(2004年版),JIS-C8955(2017年版),NEDOガイドライン(2019年版)"</formula1>
    </dataValidation>
    <dataValidation type="list" allowBlank="1" showInputMessage="1" showErrorMessage="1" sqref="D21" xr:uid="{C3DA6090-2D9F-4D1F-97FF-896ABE81BAF2}">
      <formula1>"極めて重要,通常"</formula1>
    </dataValidation>
    <dataValidation type="list" allowBlank="1" showInputMessage="1" showErrorMessage="1" sqref="D28" xr:uid="{EF718EB8-5BD7-4301-8299-4663A4A2F308}">
      <formula1>"Ⅰ,Ⅱ,Ⅲ,Ⅳ"</formula1>
    </dataValidation>
  </dataValidations>
  <pageMargins left="0.25" right="0.25" top="0.75" bottom="0.75" header="0.3" footer="0.3"/>
  <pageSetup paperSize="9" scale="59" orientation="portrait" r:id="rId1"/>
  <colBreaks count="1" manualBreakCount="1">
    <brk id="1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1B6AA-3241-4FDB-B355-DB95E6BEA49D}">
  <sheetPr>
    <tabColor rgb="FF00B050"/>
    <pageSetUpPr fitToPage="1"/>
  </sheetPr>
  <dimension ref="B1:Z105"/>
  <sheetViews>
    <sheetView showOutlineSymbols="0" view="pageBreakPreview" topLeftCell="A18" zoomScale="80" zoomScaleNormal="100" zoomScaleSheetLayoutView="80" workbookViewId="0">
      <selection activeCell="D25" sqref="D25"/>
    </sheetView>
  </sheetViews>
  <sheetFormatPr defaultColWidth="9" defaultRowHeight="16.149999999999999"/>
  <cols>
    <col min="1" max="1" width="7.125" style="1" customWidth="1"/>
    <col min="2" max="2" width="10.75" style="1" customWidth="1"/>
    <col min="3" max="3" width="24.25" style="1" customWidth="1"/>
    <col min="4" max="4" width="25.875" style="1" bestFit="1" customWidth="1"/>
    <col min="5" max="5" width="6.375" style="1" customWidth="1"/>
    <col min="6" max="6" width="61.75" style="1" customWidth="1"/>
    <col min="7" max="7" width="8.25" style="1" customWidth="1"/>
    <col min="8" max="15" width="10.75" style="1" customWidth="1"/>
    <col min="16" max="17" width="9" style="1"/>
    <col min="18" max="18" width="10.75" style="1" bestFit="1" customWidth="1"/>
    <col min="19" max="20" width="10.5" style="1" customWidth="1"/>
    <col min="21" max="16384" width="9" style="1"/>
  </cols>
  <sheetData>
    <row r="1" spans="2:26">
      <c r="G1" s="2" t="s">
        <v>0</v>
      </c>
    </row>
    <row r="2" spans="2:26" ht="19.899999999999999">
      <c r="B2" s="54" t="s">
        <v>1</v>
      </c>
      <c r="C2" s="54"/>
      <c r="D2" s="54"/>
      <c r="E2" s="54"/>
      <c r="F2" s="54"/>
    </row>
    <row r="4" spans="2:26">
      <c r="B4" s="1" t="s">
        <v>2</v>
      </c>
    </row>
    <row r="5" spans="2:26">
      <c r="F5" s="3" t="s">
        <v>3</v>
      </c>
    </row>
    <row r="7" spans="2:26">
      <c r="B7" s="1" t="s">
        <v>4</v>
      </c>
    </row>
    <row r="9" spans="2:26">
      <c r="B9" s="4" t="s">
        <v>5</v>
      </c>
      <c r="C9" s="19">
        <v>46017</v>
      </c>
      <c r="D9" s="4"/>
    </row>
    <row r="10" spans="2:26">
      <c r="B10" s="4" t="s">
        <v>6</v>
      </c>
      <c r="C10" s="19">
        <v>46053</v>
      </c>
      <c r="D10" s="4"/>
    </row>
    <row r="13" spans="2:26" ht="18">
      <c r="B13" s="1" t="s">
        <v>7</v>
      </c>
      <c r="O13"/>
      <c r="P13"/>
      <c r="Q13"/>
      <c r="R13"/>
      <c r="S13"/>
      <c r="T13"/>
      <c r="U13"/>
      <c r="V13"/>
      <c r="W13"/>
      <c r="X13"/>
      <c r="Y13"/>
      <c r="Z13"/>
    </row>
    <row r="14" spans="2:26" ht="18">
      <c r="B14" s="55" t="s">
        <v>8</v>
      </c>
      <c r="C14" s="55"/>
      <c r="D14" s="55"/>
      <c r="E14" s="55"/>
      <c r="F14" s="5" t="s">
        <v>9</v>
      </c>
      <c r="O14"/>
      <c r="P14"/>
      <c r="Q14"/>
      <c r="R14"/>
      <c r="S14"/>
      <c r="T14"/>
      <c r="U14"/>
      <c r="V14"/>
      <c r="W14"/>
      <c r="X14"/>
      <c r="Y14"/>
      <c r="Z14"/>
    </row>
    <row r="15" spans="2:26" ht="18">
      <c r="B15" s="56" t="s">
        <v>10</v>
      </c>
      <c r="C15" s="6" t="s">
        <v>11</v>
      </c>
      <c r="D15" s="14" t="s">
        <v>92</v>
      </c>
      <c r="E15" s="7" t="s">
        <v>13</v>
      </c>
      <c r="F15" s="4"/>
      <c r="O15"/>
      <c r="P15"/>
      <c r="Q15"/>
      <c r="R15"/>
      <c r="S15"/>
      <c r="T15"/>
      <c r="U15"/>
      <c r="V15"/>
      <c r="W15"/>
      <c r="X15"/>
      <c r="Y15"/>
      <c r="Z15"/>
    </row>
    <row r="16" spans="2:26" ht="18">
      <c r="B16" s="57"/>
      <c r="C16" s="6" t="s">
        <v>14</v>
      </c>
      <c r="D16" s="15" t="s">
        <v>93</v>
      </c>
      <c r="E16" s="7" t="s">
        <v>13</v>
      </c>
      <c r="F16" s="4"/>
      <c r="O16"/>
      <c r="P16"/>
      <c r="Q16"/>
      <c r="R16"/>
      <c r="S16"/>
      <c r="T16"/>
      <c r="U16"/>
      <c r="V16"/>
      <c r="W16"/>
      <c r="X16"/>
      <c r="Y16"/>
      <c r="Z16"/>
    </row>
    <row r="17" spans="2:26" ht="18">
      <c r="B17" s="57"/>
      <c r="C17" s="6" t="s">
        <v>16</v>
      </c>
      <c r="D17" s="15">
        <v>35.224200000000003</v>
      </c>
      <c r="E17" s="8" t="s">
        <v>17</v>
      </c>
      <c r="F17" s="4" t="s">
        <v>18</v>
      </c>
      <c r="O17"/>
      <c r="P17"/>
      <c r="Q17"/>
      <c r="R17"/>
      <c r="S17"/>
      <c r="T17"/>
      <c r="U17"/>
      <c r="V17"/>
      <c r="W17"/>
      <c r="X17"/>
      <c r="Y17"/>
      <c r="Z17"/>
    </row>
    <row r="18" spans="2:26" ht="18">
      <c r="B18" s="57"/>
      <c r="C18" s="6" t="s">
        <v>19</v>
      </c>
      <c r="D18" s="15">
        <v>140.04130000000001</v>
      </c>
      <c r="E18" s="8" t="s">
        <v>17</v>
      </c>
      <c r="F18" s="4" t="s">
        <v>20</v>
      </c>
      <c r="O18"/>
      <c r="P18"/>
      <c r="Q18"/>
      <c r="R18"/>
      <c r="S18"/>
      <c r="T18"/>
      <c r="U18"/>
      <c r="V18"/>
      <c r="W18"/>
      <c r="X18"/>
      <c r="Y18"/>
      <c r="Z18"/>
    </row>
    <row r="19" spans="2:26" ht="18">
      <c r="B19" s="57"/>
      <c r="C19" s="6" t="s">
        <v>21</v>
      </c>
      <c r="D19" s="27">
        <v>43434</v>
      </c>
      <c r="E19" s="7" t="s">
        <v>22</v>
      </c>
      <c r="F19" s="4" t="s">
        <v>23</v>
      </c>
      <c r="O19"/>
      <c r="P19"/>
      <c r="Q19"/>
      <c r="R19"/>
      <c r="S19"/>
      <c r="T19"/>
      <c r="U19"/>
      <c r="V19"/>
      <c r="W19"/>
      <c r="X19"/>
      <c r="Y19"/>
      <c r="Z19"/>
    </row>
    <row r="20" spans="2:26" ht="18">
      <c r="B20" s="58"/>
      <c r="C20" s="6" t="s">
        <v>24</v>
      </c>
      <c r="D20" s="20">
        <v>8927261</v>
      </c>
      <c r="E20" s="18" t="s">
        <v>25</v>
      </c>
      <c r="F20" s="4"/>
      <c r="O20"/>
      <c r="P20"/>
      <c r="Q20"/>
      <c r="R20"/>
      <c r="S20"/>
      <c r="T20"/>
      <c r="U20"/>
      <c r="V20"/>
      <c r="W20"/>
      <c r="X20"/>
      <c r="Y20"/>
      <c r="Z20"/>
    </row>
    <row r="21" spans="2:26" ht="18">
      <c r="B21" s="56" t="s">
        <v>26</v>
      </c>
      <c r="C21" s="6" t="s">
        <v>27</v>
      </c>
      <c r="D21" s="21" t="s">
        <v>28</v>
      </c>
      <c r="E21" s="7" t="s">
        <v>13</v>
      </c>
      <c r="F21" s="4" t="s">
        <v>29</v>
      </c>
      <c r="O21"/>
      <c r="P21"/>
      <c r="Q21"/>
      <c r="R21"/>
      <c r="S21"/>
      <c r="T21"/>
      <c r="U21"/>
      <c r="V21"/>
      <c r="W21"/>
      <c r="X21"/>
      <c r="Y21"/>
      <c r="Z21"/>
    </row>
    <row r="22" spans="2:26" ht="18">
      <c r="B22" s="57"/>
      <c r="C22" s="9" t="s">
        <v>30</v>
      </c>
      <c r="D22" s="21">
        <v>10</v>
      </c>
      <c r="E22" s="8" t="s">
        <v>31</v>
      </c>
      <c r="F22" s="4" t="s">
        <v>32</v>
      </c>
      <c r="O22"/>
      <c r="P22"/>
      <c r="Q22"/>
      <c r="R22"/>
      <c r="S22"/>
      <c r="T22"/>
      <c r="U22"/>
      <c r="V22"/>
      <c r="W22"/>
      <c r="X22"/>
      <c r="Y22"/>
      <c r="Z22"/>
    </row>
    <row r="23" spans="2:26" ht="18">
      <c r="B23" s="57"/>
      <c r="C23" s="9" t="s">
        <v>33</v>
      </c>
      <c r="D23" s="22">
        <v>1.32</v>
      </c>
      <c r="E23" s="8" t="s">
        <v>34</v>
      </c>
      <c r="F23" s="4" t="s">
        <v>32</v>
      </c>
      <c r="O23"/>
      <c r="P23"/>
      <c r="Q23"/>
      <c r="R23"/>
      <c r="S23"/>
      <c r="T23"/>
      <c r="U23"/>
      <c r="V23"/>
      <c r="W23"/>
      <c r="X23"/>
      <c r="Y23"/>
      <c r="Z23"/>
    </row>
    <row r="24" spans="2:26" ht="18">
      <c r="B24" s="57"/>
      <c r="C24" s="9" t="s">
        <v>35</v>
      </c>
      <c r="D24" s="22">
        <f>1.84-1.32</f>
        <v>0.52</v>
      </c>
      <c r="E24" s="8" t="s">
        <v>34</v>
      </c>
      <c r="F24" s="4" t="s">
        <v>32</v>
      </c>
      <c r="O24"/>
      <c r="P24"/>
      <c r="Q24"/>
      <c r="R24"/>
      <c r="S24"/>
      <c r="T24"/>
      <c r="U24"/>
      <c r="V24"/>
      <c r="W24"/>
      <c r="X24"/>
      <c r="Y24"/>
      <c r="Z24"/>
    </row>
    <row r="25" spans="2:26" ht="18">
      <c r="B25" s="58"/>
      <c r="C25" s="9" t="s">
        <v>36</v>
      </c>
      <c r="D25" s="63">
        <v>5.9240000000000004</v>
      </c>
      <c r="E25" s="8" t="s">
        <v>37</v>
      </c>
      <c r="F25" s="4" t="s">
        <v>32</v>
      </c>
      <c r="O25"/>
      <c r="P25"/>
      <c r="Q25"/>
      <c r="R25"/>
      <c r="S25"/>
      <c r="T25"/>
      <c r="U25"/>
      <c r="V25"/>
      <c r="W25"/>
      <c r="X25"/>
      <c r="Y25"/>
      <c r="Z25"/>
    </row>
    <row r="26" spans="2:26" ht="18">
      <c r="B26" s="56" t="s">
        <v>38</v>
      </c>
      <c r="C26" s="9" t="s">
        <v>39</v>
      </c>
      <c r="D26" s="23" t="s">
        <v>40</v>
      </c>
      <c r="E26" s="7" t="s">
        <v>13</v>
      </c>
      <c r="F26" s="4" t="s">
        <v>41</v>
      </c>
      <c r="O26"/>
      <c r="P26"/>
      <c r="Q26"/>
      <c r="R26"/>
      <c r="S26"/>
      <c r="T26"/>
      <c r="U26"/>
      <c r="V26"/>
      <c r="W26"/>
      <c r="X26"/>
      <c r="Y26"/>
      <c r="Z26"/>
    </row>
    <row r="27" spans="2:26" ht="18">
      <c r="B27" s="57"/>
      <c r="C27" s="9" t="s">
        <v>42</v>
      </c>
      <c r="D27" s="24">
        <v>38</v>
      </c>
      <c r="E27" s="8" t="s">
        <v>43</v>
      </c>
      <c r="F27" s="4" t="s">
        <v>44</v>
      </c>
      <c r="O27"/>
      <c r="P27"/>
      <c r="Q27"/>
      <c r="R27"/>
      <c r="S27"/>
      <c r="T27"/>
      <c r="U27"/>
      <c r="V27"/>
      <c r="W27"/>
      <c r="X27"/>
      <c r="Y27"/>
      <c r="Z27"/>
    </row>
    <row r="28" spans="2:26" ht="18">
      <c r="B28" s="57"/>
      <c r="C28" s="9" t="s">
        <v>45</v>
      </c>
      <c r="D28" s="24" t="s">
        <v>46</v>
      </c>
      <c r="E28" s="7" t="s">
        <v>13</v>
      </c>
      <c r="F28" s="4" t="s">
        <v>47</v>
      </c>
      <c r="O28"/>
      <c r="P28"/>
      <c r="Q28"/>
      <c r="R28"/>
      <c r="S28"/>
      <c r="T28"/>
      <c r="U28"/>
      <c r="V28"/>
      <c r="W28"/>
      <c r="X28"/>
      <c r="Y28"/>
      <c r="Z28"/>
    </row>
    <row r="29" spans="2:26" ht="18">
      <c r="B29" s="57"/>
      <c r="C29" s="9" t="s">
        <v>48</v>
      </c>
      <c r="D29" s="24" t="s">
        <v>49</v>
      </c>
      <c r="E29" s="7" t="s">
        <v>13</v>
      </c>
      <c r="F29" s="4" t="s">
        <v>44</v>
      </c>
      <c r="O29"/>
      <c r="P29"/>
      <c r="Q29"/>
      <c r="R29"/>
      <c r="S29"/>
      <c r="T29"/>
      <c r="U29"/>
      <c r="V29"/>
      <c r="W29"/>
      <c r="X29"/>
      <c r="Y29"/>
      <c r="Z29"/>
    </row>
    <row r="30" spans="2:26" ht="18">
      <c r="B30" s="57"/>
      <c r="C30" s="9" t="s">
        <v>50</v>
      </c>
      <c r="D30" s="24">
        <v>35</v>
      </c>
      <c r="E30" s="8" t="s">
        <v>51</v>
      </c>
      <c r="F30" s="4" t="s">
        <v>52</v>
      </c>
      <c r="O30"/>
      <c r="P30"/>
      <c r="Q30"/>
      <c r="R30"/>
      <c r="S30"/>
      <c r="T30"/>
      <c r="U30"/>
      <c r="V30"/>
      <c r="W30"/>
      <c r="X30"/>
      <c r="Y30"/>
      <c r="Z30"/>
    </row>
    <row r="31" spans="2:26" ht="18">
      <c r="B31" s="57"/>
      <c r="C31" s="9" t="s">
        <v>53</v>
      </c>
      <c r="D31" s="23" t="s">
        <v>49</v>
      </c>
      <c r="E31" s="7" t="s">
        <v>13</v>
      </c>
      <c r="F31" s="4" t="s">
        <v>44</v>
      </c>
      <c r="O31"/>
      <c r="P31"/>
      <c r="Q31"/>
      <c r="R31"/>
      <c r="S31"/>
      <c r="T31"/>
      <c r="U31"/>
      <c r="V31"/>
      <c r="W31"/>
      <c r="X31"/>
      <c r="Y31"/>
      <c r="Z31"/>
    </row>
    <row r="32" spans="2:26" ht="18">
      <c r="B32" s="57"/>
      <c r="C32" s="9" t="s">
        <v>54</v>
      </c>
      <c r="D32" s="23">
        <v>0.98299999999999998</v>
      </c>
      <c r="E32" s="7" t="s">
        <v>13</v>
      </c>
      <c r="F32" s="4" t="s">
        <v>44</v>
      </c>
      <c r="O32"/>
      <c r="P32"/>
      <c r="Q32"/>
      <c r="R32"/>
      <c r="S32"/>
      <c r="T32"/>
      <c r="U32"/>
      <c r="V32"/>
      <c r="W32"/>
      <c r="X32"/>
      <c r="Y32"/>
      <c r="Z32"/>
    </row>
    <row r="33" spans="2:26" ht="18">
      <c r="B33" s="57"/>
      <c r="C33" s="9" t="s">
        <v>55</v>
      </c>
      <c r="D33" s="23" t="s">
        <v>49</v>
      </c>
      <c r="E33" s="8" t="s">
        <v>56</v>
      </c>
      <c r="F33" s="4" t="s">
        <v>44</v>
      </c>
      <c r="O33"/>
      <c r="P33"/>
      <c r="Q33"/>
      <c r="R33"/>
      <c r="S33"/>
      <c r="T33"/>
      <c r="U33"/>
      <c r="V33"/>
      <c r="W33"/>
      <c r="X33"/>
      <c r="Y33"/>
      <c r="Z33"/>
    </row>
    <row r="34" spans="2:26" ht="18">
      <c r="B34" s="58"/>
      <c r="C34" s="9" t="s">
        <v>57</v>
      </c>
      <c r="D34" s="23">
        <v>2400</v>
      </c>
      <c r="E34" s="8" t="s">
        <v>56</v>
      </c>
      <c r="F34" s="4" t="s">
        <v>44</v>
      </c>
      <c r="O34"/>
      <c r="P34"/>
      <c r="Q34"/>
      <c r="R34"/>
      <c r="S34"/>
      <c r="T34"/>
      <c r="U34"/>
      <c r="V34"/>
      <c r="W34"/>
      <c r="X34"/>
      <c r="Y34"/>
      <c r="Z34"/>
    </row>
    <row r="35" spans="2:26" ht="18">
      <c r="B35" s="52" t="s">
        <v>58</v>
      </c>
      <c r="C35" s="9" t="s">
        <v>59</v>
      </c>
      <c r="D35" s="25">
        <v>0.11</v>
      </c>
      <c r="E35" s="7" t="s">
        <v>13</v>
      </c>
      <c r="F35" s="4" t="s">
        <v>44</v>
      </c>
      <c r="O35"/>
      <c r="P35"/>
      <c r="Q35"/>
      <c r="R35"/>
      <c r="S35"/>
      <c r="T35"/>
      <c r="U35"/>
      <c r="V35"/>
      <c r="W35"/>
      <c r="X35"/>
      <c r="Y35"/>
      <c r="Z35"/>
    </row>
    <row r="36" spans="2:26" ht="18">
      <c r="B36" s="53"/>
      <c r="C36" s="9" t="s">
        <v>60</v>
      </c>
      <c r="D36" s="25">
        <v>0.44</v>
      </c>
      <c r="E36" s="7" t="s">
        <v>13</v>
      </c>
      <c r="F36" s="4" t="s">
        <v>44</v>
      </c>
      <c r="O36"/>
      <c r="P36"/>
      <c r="Q36"/>
      <c r="R36"/>
      <c r="S36"/>
      <c r="T36"/>
      <c r="U36"/>
      <c r="V36"/>
      <c r="W36"/>
      <c r="X36"/>
      <c r="Y36"/>
      <c r="Z36"/>
    </row>
    <row r="37" spans="2:26" ht="18">
      <c r="B37" s="59" t="s">
        <v>61</v>
      </c>
      <c r="C37" s="10" t="s">
        <v>62</v>
      </c>
      <c r="D37" s="26"/>
      <c r="E37" s="11" t="s">
        <v>63</v>
      </c>
      <c r="F37" s="4" t="s">
        <v>64</v>
      </c>
      <c r="O37"/>
      <c r="P37"/>
      <c r="Q37"/>
      <c r="R37"/>
      <c r="S37"/>
      <c r="T37"/>
      <c r="U37"/>
      <c r="V37"/>
      <c r="W37"/>
      <c r="X37"/>
      <c r="Y37"/>
      <c r="Z37"/>
    </row>
    <row r="38" spans="2:26" ht="18">
      <c r="B38" s="60"/>
      <c r="C38" s="10" t="s">
        <v>65</v>
      </c>
      <c r="D38" s="26"/>
      <c r="E38" s="11" t="s">
        <v>63</v>
      </c>
      <c r="F38" s="4" t="s">
        <v>66</v>
      </c>
      <c r="O38"/>
      <c r="P38"/>
      <c r="Q38"/>
      <c r="R38"/>
      <c r="S38"/>
      <c r="T38"/>
      <c r="U38"/>
      <c r="V38"/>
      <c r="W38"/>
      <c r="X38"/>
      <c r="Y38"/>
      <c r="Z38"/>
    </row>
    <row r="39" spans="2:26" ht="18">
      <c r="B39" s="60"/>
      <c r="C39" s="10" t="s">
        <v>67</v>
      </c>
      <c r="D39" s="26"/>
      <c r="E39" s="11" t="s">
        <v>63</v>
      </c>
      <c r="F39" s="4" t="s">
        <v>68</v>
      </c>
      <c r="O39"/>
      <c r="P39"/>
      <c r="Q39"/>
      <c r="R39"/>
      <c r="S39"/>
      <c r="T39"/>
      <c r="U39"/>
      <c r="V39"/>
      <c r="W39"/>
      <c r="X39"/>
      <c r="Y39"/>
      <c r="Z39"/>
    </row>
    <row r="40" spans="2:26" ht="18">
      <c r="B40" s="61"/>
      <c r="C40" s="10" t="s">
        <v>69</v>
      </c>
      <c r="D40" s="26"/>
      <c r="E40" s="11" t="s">
        <v>63</v>
      </c>
      <c r="F40" s="4" t="s">
        <v>70</v>
      </c>
      <c r="O40"/>
      <c r="P40"/>
      <c r="Q40"/>
      <c r="R40"/>
      <c r="S40"/>
      <c r="T40"/>
      <c r="U40"/>
      <c r="V40"/>
      <c r="W40"/>
      <c r="X40"/>
      <c r="Y40"/>
      <c r="Z40"/>
    </row>
    <row r="41" spans="2:26" ht="18">
      <c r="C41" s="12" t="s">
        <v>71</v>
      </c>
      <c r="D41"/>
      <c r="E41"/>
      <c r="F41"/>
      <c r="O41"/>
      <c r="P41"/>
      <c r="Q41"/>
      <c r="R41"/>
      <c r="S41"/>
      <c r="T41"/>
      <c r="U41"/>
      <c r="V41"/>
      <c r="W41"/>
      <c r="X41"/>
      <c r="Y41"/>
      <c r="Z41"/>
    </row>
    <row r="42" spans="2:26" ht="18">
      <c r="O42"/>
      <c r="P42"/>
      <c r="Q42"/>
      <c r="R42"/>
      <c r="S42"/>
      <c r="T42"/>
      <c r="U42"/>
      <c r="V42"/>
      <c r="W42"/>
      <c r="X42"/>
      <c r="Y42"/>
      <c r="Z42"/>
    </row>
    <row r="43" spans="2:26" ht="18">
      <c r="G43" s="2" t="s">
        <v>0</v>
      </c>
      <c r="O43"/>
      <c r="P43"/>
      <c r="Q43"/>
      <c r="R43"/>
      <c r="S43"/>
      <c r="T43"/>
      <c r="U43"/>
      <c r="V43"/>
      <c r="W43"/>
      <c r="X43"/>
      <c r="Y43"/>
      <c r="Z43"/>
    </row>
    <row r="44" spans="2:26" ht="19.899999999999999">
      <c r="B44" s="54" t="s">
        <v>72</v>
      </c>
      <c r="C44" s="54"/>
      <c r="D44" s="54"/>
      <c r="E44" s="54"/>
      <c r="F44" s="54"/>
      <c r="O44"/>
      <c r="P44"/>
      <c r="Q44"/>
      <c r="R44"/>
      <c r="S44"/>
      <c r="T44"/>
      <c r="U44"/>
      <c r="V44"/>
      <c r="W44"/>
      <c r="X44"/>
      <c r="Y44"/>
      <c r="Z44"/>
    </row>
    <row r="45" spans="2:26" ht="18">
      <c r="O45"/>
      <c r="P45"/>
      <c r="Q45"/>
      <c r="R45"/>
      <c r="S45"/>
      <c r="T45"/>
      <c r="U45"/>
      <c r="V45"/>
      <c r="W45"/>
      <c r="X45"/>
      <c r="Y45"/>
      <c r="Z45"/>
    </row>
    <row r="46" spans="2:26" ht="18">
      <c r="B46" s="1" t="s">
        <v>2</v>
      </c>
      <c r="O46"/>
      <c r="P46"/>
      <c r="Q46"/>
      <c r="R46"/>
      <c r="S46"/>
      <c r="T46"/>
      <c r="U46"/>
      <c r="V46"/>
      <c r="W46"/>
      <c r="X46"/>
      <c r="Y46"/>
      <c r="Z46"/>
    </row>
    <row r="47" spans="2:26" ht="18">
      <c r="F47" s="3" t="str">
        <f>F5</f>
        <v>スパークス・グリーンエナジー＆テクノロジー株式会社</v>
      </c>
      <c r="O47"/>
      <c r="P47"/>
      <c r="Q47"/>
      <c r="R47"/>
      <c r="S47"/>
      <c r="T47"/>
      <c r="U47"/>
      <c r="V47"/>
      <c r="W47"/>
      <c r="X47"/>
      <c r="Y47"/>
      <c r="Z47"/>
    </row>
    <row r="48" spans="2:26" ht="18">
      <c r="O48"/>
      <c r="P48"/>
      <c r="Q48"/>
      <c r="R48"/>
      <c r="S48"/>
      <c r="T48"/>
      <c r="U48"/>
      <c r="V48"/>
      <c r="W48"/>
      <c r="X48"/>
      <c r="Y48"/>
      <c r="Z48"/>
    </row>
    <row r="49" spans="2:26" ht="18">
      <c r="B49" s="1" t="s">
        <v>4</v>
      </c>
      <c r="O49"/>
      <c r="P49"/>
      <c r="Q49"/>
      <c r="R49"/>
      <c r="S49"/>
      <c r="T49"/>
      <c r="U49"/>
      <c r="V49"/>
      <c r="W49"/>
      <c r="X49"/>
      <c r="Y49"/>
      <c r="Z49"/>
    </row>
    <row r="50" spans="2:26" ht="12" customHeight="1">
      <c r="O50"/>
      <c r="P50"/>
      <c r="Q50"/>
      <c r="R50"/>
      <c r="S50"/>
      <c r="T50"/>
      <c r="U50"/>
      <c r="V50"/>
      <c r="W50"/>
      <c r="X50"/>
      <c r="Y50"/>
      <c r="Z50"/>
    </row>
    <row r="51" spans="2:26" ht="18">
      <c r="B51" s="4" t="s">
        <v>5</v>
      </c>
      <c r="C51" s="19">
        <f>C9</f>
        <v>46017</v>
      </c>
      <c r="D51" s="4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2:26" ht="18">
      <c r="B52" s="4" t="s">
        <v>6</v>
      </c>
      <c r="C52" s="19">
        <f>C10</f>
        <v>46053</v>
      </c>
      <c r="D52" s="4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2:26" ht="18">
      <c r="P53"/>
      <c r="Q53"/>
      <c r="R53"/>
      <c r="S53"/>
      <c r="T53"/>
      <c r="U53"/>
      <c r="V53"/>
    </row>
    <row r="54" spans="2:26" ht="18">
      <c r="P54"/>
      <c r="Q54"/>
      <c r="R54"/>
      <c r="S54"/>
      <c r="T54"/>
      <c r="U54"/>
      <c r="V54"/>
    </row>
    <row r="55" spans="2:26" ht="18">
      <c r="B55" s="1" t="s">
        <v>7</v>
      </c>
      <c r="P55"/>
      <c r="Q55"/>
      <c r="R55"/>
      <c r="S55"/>
      <c r="T55"/>
      <c r="U55"/>
      <c r="V55"/>
    </row>
    <row r="56" spans="2:26" ht="18">
      <c r="B56" s="55" t="s">
        <v>8</v>
      </c>
      <c r="C56" s="55"/>
      <c r="D56" s="55"/>
      <c r="E56" s="55"/>
      <c r="F56" s="5" t="s">
        <v>9</v>
      </c>
      <c r="P56"/>
      <c r="Q56"/>
      <c r="R56"/>
      <c r="S56"/>
      <c r="T56"/>
      <c r="U56"/>
      <c r="V56"/>
    </row>
    <row r="57" spans="2:26" ht="18">
      <c r="B57" s="56" t="s">
        <v>10</v>
      </c>
      <c r="C57" s="6" t="s">
        <v>11</v>
      </c>
      <c r="D57" s="14" t="str">
        <f>D15</f>
        <v>SGET木更津メガソーラー発電所</v>
      </c>
      <c r="E57" s="7" t="s">
        <v>13</v>
      </c>
      <c r="F57" s="4"/>
      <c r="P57"/>
      <c r="Q57"/>
      <c r="R57"/>
      <c r="S57"/>
      <c r="T57"/>
      <c r="U57"/>
      <c r="V57"/>
    </row>
    <row r="58" spans="2:26" ht="18">
      <c r="B58" s="57"/>
      <c r="C58" s="6" t="s">
        <v>14</v>
      </c>
      <c r="D58" s="15" t="str">
        <f>D16</f>
        <v>千葉県木更津市真里谷字伊豆谷1035</v>
      </c>
      <c r="E58" s="7" t="s">
        <v>13</v>
      </c>
      <c r="F58" s="4"/>
      <c r="P58"/>
      <c r="Q58"/>
      <c r="R58"/>
      <c r="S58"/>
      <c r="T58"/>
      <c r="U58"/>
      <c r="V58"/>
    </row>
    <row r="59" spans="2:26" ht="18">
      <c r="B59" s="57"/>
      <c r="C59" s="6" t="s">
        <v>16</v>
      </c>
      <c r="D59" s="15">
        <f>D17</f>
        <v>35.224200000000003</v>
      </c>
      <c r="E59" s="8" t="s">
        <v>17</v>
      </c>
      <c r="F59" s="4" t="s">
        <v>18</v>
      </c>
      <c r="P59"/>
      <c r="Q59"/>
      <c r="R59"/>
      <c r="S59"/>
      <c r="T59"/>
      <c r="U59"/>
      <c r="V59"/>
    </row>
    <row r="60" spans="2:26" ht="18">
      <c r="B60" s="57"/>
      <c r="C60" s="6" t="s">
        <v>19</v>
      </c>
      <c r="D60" s="15">
        <f>D18</f>
        <v>140.04130000000001</v>
      </c>
      <c r="E60" s="8" t="s">
        <v>17</v>
      </c>
      <c r="F60" s="4" t="s">
        <v>20</v>
      </c>
      <c r="P60"/>
      <c r="Q60"/>
      <c r="R60"/>
      <c r="S60"/>
      <c r="T60"/>
      <c r="U60"/>
      <c r="V60"/>
    </row>
    <row r="61" spans="2:26" ht="18">
      <c r="B61" s="58"/>
      <c r="C61" s="6" t="s">
        <v>24</v>
      </c>
      <c r="D61" s="16">
        <f>D20</f>
        <v>8927261</v>
      </c>
      <c r="E61" s="18" t="s">
        <v>25</v>
      </c>
      <c r="F61" s="4"/>
      <c r="P61"/>
      <c r="Q61"/>
      <c r="R61"/>
      <c r="S61"/>
      <c r="T61"/>
      <c r="U61"/>
      <c r="V61"/>
    </row>
    <row r="62" spans="2:26" ht="18">
      <c r="B62" s="59" t="s">
        <v>61</v>
      </c>
      <c r="C62" s="10" t="s">
        <v>62</v>
      </c>
      <c r="D62" s="17"/>
      <c r="E62" s="11" t="s">
        <v>63</v>
      </c>
      <c r="F62" s="4" t="s">
        <v>64</v>
      </c>
      <c r="P62"/>
      <c r="Q62"/>
      <c r="R62"/>
      <c r="S62"/>
      <c r="T62"/>
      <c r="U62"/>
      <c r="V62"/>
    </row>
    <row r="63" spans="2:26">
      <c r="B63" s="60"/>
      <c r="C63" s="10" t="s">
        <v>65</v>
      </c>
      <c r="D63" s="17"/>
      <c r="E63" s="11" t="s">
        <v>63</v>
      </c>
      <c r="F63" s="4" t="s">
        <v>66</v>
      </c>
    </row>
    <row r="64" spans="2:26">
      <c r="B64" s="60"/>
      <c r="C64" s="10" t="s">
        <v>67</v>
      </c>
      <c r="D64" s="17"/>
      <c r="E64" s="11" t="s">
        <v>63</v>
      </c>
      <c r="F64" s="4" t="s">
        <v>68</v>
      </c>
    </row>
    <row r="65" spans="2:9">
      <c r="B65" s="61"/>
      <c r="C65" s="10" t="s">
        <v>69</v>
      </c>
      <c r="D65" s="17"/>
      <c r="E65" s="11" t="s">
        <v>63</v>
      </c>
      <c r="F65" s="4" t="s">
        <v>70</v>
      </c>
    </row>
    <row r="66" spans="2:9" ht="18">
      <c r="C66" s="12"/>
      <c r="D66"/>
      <c r="E66"/>
      <c r="F66"/>
    </row>
    <row r="68" spans="2:9" ht="18">
      <c r="B68"/>
      <c r="C68"/>
      <c r="D68"/>
      <c r="E68"/>
      <c r="F68"/>
      <c r="H68"/>
      <c r="I68"/>
    </row>
    <row r="69" spans="2:9" ht="18">
      <c r="B69"/>
      <c r="C69"/>
      <c r="D69"/>
      <c r="E69"/>
      <c r="F69"/>
      <c r="H69"/>
      <c r="I69"/>
    </row>
    <row r="70" spans="2:9" ht="18">
      <c r="C70"/>
      <c r="D70"/>
      <c r="E70"/>
      <c r="F70"/>
      <c r="G70" s="13"/>
      <c r="H70"/>
      <c r="I70"/>
    </row>
    <row r="71" spans="2:9" ht="18">
      <c r="C71"/>
      <c r="D71"/>
      <c r="E71"/>
      <c r="F71"/>
      <c r="G71" s="13"/>
      <c r="H71"/>
      <c r="I71"/>
    </row>
    <row r="72" spans="2:9" ht="18">
      <c r="C72"/>
      <c r="D72"/>
      <c r="E72"/>
      <c r="F72"/>
      <c r="G72" s="13"/>
      <c r="H72"/>
      <c r="I72"/>
    </row>
    <row r="73" spans="2:9" ht="18">
      <c r="C73"/>
      <c r="D73"/>
      <c r="E73"/>
      <c r="F73"/>
      <c r="G73" s="13"/>
      <c r="H73"/>
      <c r="I73"/>
    </row>
    <row r="74" spans="2:9" ht="18">
      <c r="C74"/>
      <c r="D74"/>
      <c r="E74"/>
      <c r="F74"/>
      <c r="G74" s="13"/>
      <c r="H74"/>
      <c r="I74"/>
    </row>
    <row r="75" spans="2:9" ht="18">
      <c r="C75"/>
      <c r="D75"/>
      <c r="E75"/>
      <c r="F75"/>
      <c r="G75" s="13"/>
      <c r="H75"/>
      <c r="I75"/>
    </row>
    <row r="76" spans="2:9" ht="18">
      <c r="C76"/>
      <c r="D76"/>
      <c r="E76"/>
      <c r="F76"/>
    </row>
    <row r="77" spans="2:9" ht="18">
      <c r="C77"/>
      <c r="D77"/>
      <c r="E77"/>
      <c r="F77"/>
    </row>
    <row r="78" spans="2:9" ht="18">
      <c r="C78"/>
      <c r="D78"/>
      <c r="E78"/>
      <c r="F78"/>
    </row>
    <row r="79" spans="2:9" ht="18">
      <c r="C79"/>
      <c r="D79"/>
      <c r="E79"/>
      <c r="F79"/>
    </row>
    <row r="80" spans="2:9" ht="18">
      <c r="C80"/>
      <c r="D80"/>
      <c r="E80"/>
      <c r="F80"/>
    </row>
    <row r="81" spans="2:6" ht="18">
      <c r="C81"/>
      <c r="D81"/>
      <c r="E81"/>
      <c r="F81"/>
    </row>
    <row r="82" spans="2:6" ht="18">
      <c r="C82"/>
      <c r="D82"/>
      <c r="E82"/>
      <c r="F82"/>
    </row>
    <row r="83" spans="2:6" ht="18">
      <c r="C83"/>
      <c r="D83"/>
      <c r="E83"/>
      <c r="F83"/>
    </row>
    <row r="84" spans="2:6" ht="18">
      <c r="C84"/>
      <c r="D84"/>
      <c r="E84"/>
      <c r="F84"/>
    </row>
    <row r="85" spans="2:6" ht="18">
      <c r="C85"/>
      <c r="D85"/>
      <c r="E85"/>
      <c r="F85"/>
    </row>
    <row r="86" spans="2:6" ht="18">
      <c r="C86"/>
      <c r="D86"/>
      <c r="E86"/>
      <c r="F86"/>
    </row>
    <row r="87" spans="2:6" ht="18">
      <c r="C87"/>
      <c r="D87"/>
      <c r="E87"/>
      <c r="F87"/>
    </row>
    <row r="88" spans="2:6" ht="18">
      <c r="C88"/>
      <c r="D88"/>
      <c r="E88"/>
      <c r="F88"/>
    </row>
    <row r="89" spans="2:6" ht="18">
      <c r="C89"/>
      <c r="D89"/>
      <c r="E89"/>
      <c r="F89"/>
    </row>
    <row r="90" spans="2:6" ht="18">
      <c r="C90"/>
      <c r="D90"/>
      <c r="E90"/>
      <c r="F90"/>
    </row>
    <row r="91" spans="2:6" ht="18">
      <c r="C91"/>
      <c r="D91"/>
      <c r="E91"/>
      <c r="F91"/>
    </row>
    <row r="92" spans="2:6" ht="18">
      <c r="C92"/>
      <c r="D92"/>
      <c r="E92"/>
      <c r="F92"/>
    </row>
    <row r="93" spans="2:6" ht="18">
      <c r="C93"/>
      <c r="D93"/>
      <c r="E93"/>
      <c r="F93"/>
    </row>
    <row r="94" spans="2:6" ht="18">
      <c r="C94"/>
      <c r="D94"/>
      <c r="E94"/>
      <c r="F94"/>
    </row>
    <row r="95" spans="2:6" ht="18">
      <c r="C95"/>
      <c r="D95"/>
      <c r="E95"/>
      <c r="F95"/>
    </row>
    <row r="96" spans="2:6" ht="18">
      <c r="B96"/>
      <c r="C96"/>
      <c r="D96"/>
      <c r="E96"/>
      <c r="F96"/>
    </row>
    <row r="97" spans="2:6" ht="13.5" customHeight="1">
      <c r="B97"/>
      <c r="C97"/>
      <c r="D97"/>
      <c r="E97"/>
      <c r="F97"/>
    </row>
    <row r="98" spans="2:6" ht="18">
      <c r="B98"/>
      <c r="C98"/>
      <c r="D98"/>
      <c r="E98"/>
      <c r="F98"/>
    </row>
    <row r="99" spans="2:6" ht="18">
      <c r="B99"/>
      <c r="C99"/>
      <c r="D99"/>
      <c r="E99"/>
      <c r="F99"/>
    </row>
    <row r="100" spans="2:6" ht="18">
      <c r="B100"/>
      <c r="C100"/>
      <c r="D100"/>
      <c r="E100"/>
      <c r="F100"/>
    </row>
    <row r="101" spans="2:6" ht="18">
      <c r="B101"/>
      <c r="C101"/>
      <c r="D101"/>
      <c r="E101"/>
      <c r="F101"/>
    </row>
    <row r="102" spans="2:6" ht="18">
      <c r="B102"/>
      <c r="C102"/>
      <c r="D102"/>
      <c r="E102"/>
      <c r="F102"/>
    </row>
    <row r="103" spans="2:6" ht="18">
      <c r="B103"/>
      <c r="C103"/>
      <c r="D103"/>
      <c r="E103"/>
      <c r="F103"/>
    </row>
    <row r="104" spans="2:6" ht="18">
      <c r="B104"/>
      <c r="C104"/>
      <c r="D104"/>
      <c r="E104"/>
      <c r="F104"/>
    </row>
    <row r="105" spans="2:6" ht="18">
      <c r="B105"/>
      <c r="C105"/>
      <c r="D105"/>
      <c r="E105"/>
      <c r="F105"/>
    </row>
  </sheetData>
  <mergeCells count="11">
    <mergeCell ref="B37:B40"/>
    <mergeCell ref="B44:F44"/>
    <mergeCell ref="B56:E56"/>
    <mergeCell ref="B57:B61"/>
    <mergeCell ref="B62:B65"/>
    <mergeCell ref="B35:B36"/>
    <mergeCell ref="B2:F2"/>
    <mergeCell ref="B14:E14"/>
    <mergeCell ref="B15:B20"/>
    <mergeCell ref="B21:B25"/>
    <mergeCell ref="B26:B34"/>
  </mergeCells>
  <phoneticPr fontId="3"/>
  <dataValidations count="3">
    <dataValidation type="list" allowBlank="1" showInputMessage="1" showErrorMessage="1" sqref="D28" xr:uid="{8CD26622-FFA1-45D9-8B59-9422D1FABE59}">
      <formula1>"Ⅰ,Ⅱ,Ⅲ,Ⅳ"</formula1>
    </dataValidation>
    <dataValidation type="list" allowBlank="1" showInputMessage="1" showErrorMessage="1" sqref="D21" xr:uid="{0AE45391-CBB4-4CFA-A817-692627F3D65E}">
      <formula1>"極めて重要,通常"</formula1>
    </dataValidation>
    <dataValidation type="list" allowBlank="1" showInputMessage="1" showErrorMessage="1" sqref="D26" xr:uid="{2694BB29-8469-429C-BEA5-A920C9D1AD25}">
      <formula1>"JIS-C8955(2004年版),JIS-C8955(2017年版),NEDOガイドライン(2019年版)"</formula1>
    </dataValidation>
  </dataValidations>
  <pageMargins left="0.25" right="0.25" top="0.75" bottom="0.75" header="0.3" footer="0.3"/>
  <pageSetup paperSize="9" scale="59" orientation="portrait" r:id="rId1"/>
  <colBreaks count="1" manualBreakCount="1">
    <brk id="1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3CBD-61CB-4B54-8D0B-655F877C66AD}">
  <sheetPr>
    <tabColor rgb="FF00B050"/>
    <pageSetUpPr fitToPage="1"/>
  </sheetPr>
  <dimension ref="B1:Z105"/>
  <sheetViews>
    <sheetView showOutlineSymbols="0" view="pageBreakPreview" topLeftCell="A22" zoomScale="80" zoomScaleNormal="100" zoomScaleSheetLayoutView="80" workbookViewId="0">
      <selection activeCell="D25" sqref="D25"/>
    </sheetView>
  </sheetViews>
  <sheetFormatPr defaultColWidth="9" defaultRowHeight="16.149999999999999"/>
  <cols>
    <col min="1" max="1" width="7.125" style="1" customWidth="1"/>
    <col min="2" max="2" width="10.75" style="1" customWidth="1"/>
    <col min="3" max="3" width="24.25" style="1" customWidth="1"/>
    <col min="4" max="4" width="25.875" style="1" bestFit="1" customWidth="1"/>
    <col min="5" max="5" width="6.375" style="1" customWidth="1"/>
    <col min="6" max="6" width="61.75" style="1" customWidth="1"/>
    <col min="7" max="7" width="8.25" style="1" customWidth="1"/>
    <col min="8" max="15" width="10.75" style="1" customWidth="1"/>
    <col min="16" max="17" width="9" style="1"/>
    <col min="18" max="18" width="10.75" style="1" bestFit="1" customWidth="1"/>
    <col min="19" max="20" width="10.5" style="1" customWidth="1"/>
    <col min="21" max="16384" width="9" style="1"/>
  </cols>
  <sheetData>
    <row r="1" spans="2:26">
      <c r="G1" s="2" t="s">
        <v>0</v>
      </c>
    </row>
    <row r="2" spans="2:26" ht="19.899999999999999">
      <c r="B2" s="54" t="s">
        <v>1</v>
      </c>
      <c r="C2" s="54"/>
      <c r="D2" s="54"/>
      <c r="E2" s="54"/>
      <c r="F2" s="54"/>
    </row>
    <row r="4" spans="2:26">
      <c r="B4" s="1" t="s">
        <v>2</v>
      </c>
    </row>
    <row r="5" spans="2:26">
      <c r="F5" s="3" t="s">
        <v>3</v>
      </c>
    </row>
    <row r="7" spans="2:26">
      <c r="B7" s="1" t="s">
        <v>4</v>
      </c>
    </row>
    <row r="9" spans="2:26">
      <c r="B9" s="4" t="s">
        <v>5</v>
      </c>
      <c r="C9" s="19">
        <v>46017</v>
      </c>
      <c r="D9" s="4"/>
    </row>
    <row r="10" spans="2:26">
      <c r="B10" s="4" t="s">
        <v>6</v>
      </c>
      <c r="C10" s="19">
        <v>46053</v>
      </c>
      <c r="D10" s="4"/>
    </row>
    <row r="13" spans="2:26" ht="18">
      <c r="B13" s="1" t="s">
        <v>7</v>
      </c>
      <c r="O13"/>
      <c r="P13"/>
      <c r="Q13"/>
      <c r="R13"/>
      <c r="S13"/>
      <c r="T13"/>
      <c r="U13"/>
      <c r="V13"/>
      <c r="W13"/>
      <c r="X13"/>
      <c r="Y13"/>
      <c r="Z13"/>
    </row>
    <row r="14" spans="2:26" ht="18">
      <c r="B14" s="55" t="s">
        <v>8</v>
      </c>
      <c r="C14" s="55"/>
      <c r="D14" s="55"/>
      <c r="E14" s="55"/>
      <c r="F14" s="5" t="s">
        <v>9</v>
      </c>
      <c r="O14"/>
      <c r="P14"/>
      <c r="Q14"/>
      <c r="R14"/>
      <c r="S14"/>
      <c r="T14"/>
      <c r="U14"/>
      <c r="V14"/>
      <c r="W14"/>
      <c r="X14"/>
      <c r="Y14"/>
      <c r="Z14"/>
    </row>
    <row r="15" spans="2:26" ht="18">
      <c r="B15" s="56" t="s">
        <v>10</v>
      </c>
      <c r="C15" s="6" t="s">
        <v>11</v>
      </c>
      <c r="D15" s="14" t="s">
        <v>94</v>
      </c>
      <c r="E15" s="7" t="s">
        <v>13</v>
      </c>
      <c r="F15" s="4"/>
      <c r="O15"/>
      <c r="P15"/>
      <c r="Q15"/>
      <c r="R15"/>
      <c r="S15"/>
      <c r="T15"/>
      <c r="U15"/>
      <c r="V15"/>
      <c r="W15"/>
      <c r="X15"/>
      <c r="Y15"/>
      <c r="Z15"/>
    </row>
    <row r="16" spans="2:26" ht="18">
      <c r="B16" s="57"/>
      <c r="C16" s="6" t="s">
        <v>14</v>
      </c>
      <c r="D16" s="15" t="s">
        <v>95</v>
      </c>
      <c r="E16" s="7" t="s">
        <v>13</v>
      </c>
      <c r="F16" s="4"/>
      <c r="O16"/>
      <c r="P16"/>
      <c r="Q16"/>
      <c r="R16"/>
      <c r="S16"/>
      <c r="T16"/>
      <c r="U16"/>
      <c r="V16"/>
      <c r="W16"/>
      <c r="X16"/>
      <c r="Y16"/>
      <c r="Z16"/>
    </row>
    <row r="17" spans="2:26" ht="18">
      <c r="B17" s="57"/>
      <c r="C17" s="6" t="s">
        <v>16</v>
      </c>
      <c r="D17" s="15">
        <v>37.313600000000001</v>
      </c>
      <c r="E17" s="8" t="s">
        <v>17</v>
      </c>
      <c r="F17" s="4" t="s">
        <v>18</v>
      </c>
      <c r="O17"/>
      <c r="P17"/>
      <c r="Q17"/>
      <c r="R17"/>
      <c r="S17"/>
      <c r="T17"/>
      <c r="U17"/>
      <c r="V17"/>
      <c r="W17"/>
      <c r="X17"/>
      <c r="Y17"/>
      <c r="Z17"/>
    </row>
    <row r="18" spans="2:26" ht="18">
      <c r="B18" s="57"/>
      <c r="C18" s="6" t="s">
        <v>19</v>
      </c>
      <c r="D18" s="15">
        <v>141.01</v>
      </c>
      <c r="E18" s="8" t="s">
        <v>17</v>
      </c>
      <c r="F18" s="4" t="s">
        <v>20</v>
      </c>
      <c r="O18"/>
      <c r="P18"/>
      <c r="Q18"/>
      <c r="R18"/>
      <c r="S18"/>
      <c r="T18"/>
      <c r="U18"/>
      <c r="V18"/>
      <c r="W18"/>
      <c r="X18"/>
      <c r="Y18"/>
      <c r="Z18"/>
    </row>
    <row r="19" spans="2:26" ht="18">
      <c r="B19" s="57"/>
      <c r="C19" s="6" t="s">
        <v>21</v>
      </c>
      <c r="D19" s="27">
        <v>43921</v>
      </c>
      <c r="E19" s="7" t="s">
        <v>22</v>
      </c>
      <c r="F19" s="4" t="s">
        <v>23</v>
      </c>
      <c r="O19"/>
      <c r="P19"/>
      <c r="Q19"/>
      <c r="R19"/>
      <c r="S19"/>
      <c r="T19"/>
      <c r="U19"/>
      <c r="V19"/>
      <c r="W19"/>
      <c r="X19"/>
      <c r="Y19"/>
      <c r="Z19"/>
    </row>
    <row r="20" spans="2:26" ht="18">
      <c r="B20" s="58"/>
      <c r="C20" s="6" t="s">
        <v>24</v>
      </c>
      <c r="D20" s="20">
        <v>8025000</v>
      </c>
      <c r="E20" s="18" t="s">
        <v>25</v>
      </c>
      <c r="F20" s="4"/>
      <c r="O20"/>
      <c r="P20"/>
      <c r="Q20"/>
      <c r="R20"/>
      <c r="S20"/>
      <c r="T20"/>
      <c r="U20"/>
      <c r="V20"/>
      <c r="W20"/>
      <c r="X20"/>
      <c r="Y20"/>
      <c r="Z20"/>
    </row>
    <row r="21" spans="2:26" ht="18">
      <c r="B21" s="56" t="s">
        <v>26</v>
      </c>
      <c r="C21" s="6" t="s">
        <v>27</v>
      </c>
      <c r="D21" s="21" t="s">
        <v>28</v>
      </c>
      <c r="E21" s="7" t="s">
        <v>13</v>
      </c>
      <c r="F21" s="4" t="s">
        <v>29</v>
      </c>
      <c r="O21"/>
      <c r="P21"/>
      <c r="Q21"/>
      <c r="R21"/>
      <c r="S21"/>
      <c r="T21"/>
      <c r="U21"/>
      <c r="V21"/>
      <c r="W21"/>
      <c r="X21"/>
      <c r="Y21"/>
      <c r="Z21"/>
    </row>
    <row r="22" spans="2:26" ht="18">
      <c r="B22" s="57"/>
      <c r="C22" s="9" t="s">
        <v>30</v>
      </c>
      <c r="D22" s="21">
        <v>10</v>
      </c>
      <c r="E22" s="8" t="s">
        <v>31</v>
      </c>
      <c r="F22" s="4" t="s">
        <v>32</v>
      </c>
      <c r="O22"/>
      <c r="P22"/>
      <c r="Q22"/>
      <c r="R22"/>
      <c r="S22"/>
      <c r="T22"/>
      <c r="U22"/>
      <c r="V22"/>
      <c r="W22"/>
      <c r="X22"/>
      <c r="Y22"/>
      <c r="Z22"/>
    </row>
    <row r="23" spans="2:26" ht="18">
      <c r="B23" s="57"/>
      <c r="C23" s="9" t="s">
        <v>33</v>
      </c>
      <c r="D23" s="22">
        <f>(1.694-1)/2+1</f>
        <v>1.347</v>
      </c>
      <c r="E23" s="8" t="s">
        <v>34</v>
      </c>
      <c r="F23" s="4" t="s">
        <v>32</v>
      </c>
      <c r="O23"/>
      <c r="P23"/>
      <c r="Q23"/>
      <c r="R23"/>
      <c r="S23"/>
      <c r="T23"/>
      <c r="U23"/>
      <c r="V23"/>
      <c r="W23"/>
      <c r="X23"/>
      <c r="Y23"/>
      <c r="Z23"/>
    </row>
    <row r="24" spans="2:26" ht="18">
      <c r="B24" s="57"/>
      <c r="C24" s="9" t="s">
        <v>35</v>
      </c>
      <c r="D24" s="22">
        <v>1</v>
      </c>
      <c r="E24" s="8" t="s">
        <v>34</v>
      </c>
      <c r="F24" s="4" t="s">
        <v>32</v>
      </c>
      <c r="O24"/>
      <c r="P24"/>
      <c r="Q24"/>
      <c r="R24"/>
      <c r="S24"/>
      <c r="T24"/>
      <c r="U24"/>
      <c r="V24"/>
      <c r="W24"/>
      <c r="X24"/>
      <c r="Y24"/>
      <c r="Z24"/>
    </row>
    <row r="25" spans="2:26" ht="18">
      <c r="B25" s="58"/>
      <c r="C25" s="9" t="s">
        <v>36</v>
      </c>
      <c r="D25" s="63">
        <f>3.994*COS(RADIANS(10))</f>
        <v>3.9333221655307589</v>
      </c>
      <c r="E25" s="8" t="s">
        <v>37</v>
      </c>
      <c r="F25" s="4" t="s">
        <v>32</v>
      </c>
      <c r="O25"/>
      <c r="P25"/>
      <c r="Q25"/>
      <c r="R25"/>
      <c r="S25"/>
      <c r="T25"/>
      <c r="U25"/>
      <c r="V25"/>
      <c r="W25"/>
      <c r="X25"/>
      <c r="Y25"/>
      <c r="Z25"/>
    </row>
    <row r="26" spans="2:26" ht="18">
      <c r="B26" s="56" t="s">
        <v>38</v>
      </c>
      <c r="C26" s="9" t="s">
        <v>39</v>
      </c>
      <c r="D26" s="23" t="s">
        <v>96</v>
      </c>
      <c r="E26" s="7" t="s">
        <v>13</v>
      </c>
      <c r="F26" s="4" t="s">
        <v>41</v>
      </c>
      <c r="O26"/>
      <c r="P26"/>
      <c r="Q26"/>
      <c r="R26"/>
      <c r="S26"/>
      <c r="T26"/>
      <c r="U26"/>
      <c r="V26"/>
      <c r="W26"/>
      <c r="X26"/>
      <c r="Y26"/>
      <c r="Z26"/>
    </row>
    <row r="27" spans="2:26" ht="18">
      <c r="B27" s="57"/>
      <c r="C27" s="9" t="s">
        <v>42</v>
      </c>
      <c r="D27" s="24">
        <v>30</v>
      </c>
      <c r="E27" s="8" t="s">
        <v>43</v>
      </c>
      <c r="F27" s="4" t="s">
        <v>44</v>
      </c>
      <c r="O27"/>
      <c r="P27"/>
      <c r="Q27"/>
      <c r="R27"/>
      <c r="S27"/>
      <c r="T27"/>
      <c r="U27"/>
      <c r="V27"/>
      <c r="W27"/>
      <c r="X27"/>
      <c r="Y27"/>
      <c r="Z27"/>
    </row>
    <row r="28" spans="2:26" ht="18">
      <c r="B28" s="57"/>
      <c r="C28" s="9" t="s">
        <v>45</v>
      </c>
      <c r="D28" s="24" t="s">
        <v>97</v>
      </c>
      <c r="E28" s="7" t="s">
        <v>13</v>
      </c>
      <c r="F28" s="4" t="s">
        <v>47</v>
      </c>
      <c r="O28"/>
      <c r="P28"/>
      <c r="Q28"/>
      <c r="R28"/>
      <c r="S28"/>
      <c r="T28"/>
      <c r="U28"/>
      <c r="V28"/>
      <c r="W28"/>
      <c r="X28"/>
      <c r="Y28"/>
      <c r="Z28"/>
    </row>
    <row r="29" spans="2:26" ht="18">
      <c r="B29" s="57"/>
      <c r="C29" s="9" t="s">
        <v>48</v>
      </c>
      <c r="D29" s="24" t="s">
        <v>49</v>
      </c>
      <c r="E29" s="7" t="s">
        <v>13</v>
      </c>
      <c r="F29" s="4" t="s">
        <v>44</v>
      </c>
      <c r="O29"/>
      <c r="P29"/>
      <c r="Q29"/>
      <c r="R29"/>
      <c r="S29"/>
      <c r="T29"/>
      <c r="U29"/>
      <c r="V29"/>
      <c r="W29"/>
      <c r="X29"/>
      <c r="Y29"/>
      <c r="Z29"/>
    </row>
    <row r="30" spans="2:26" ht="18">
      <c r="B30" s="57"/>
      <c r="C30" s="9" t="s">
        <v>50</v>
      </c>
      <c r="D30" s="23">
        <v>0.3</v>
      </c>
      <c r="E30" s="8" t="s">
        <v>51</v>
      </c>
      <c r="F30" s="4" t="s">
        <v>52</v>
      </c>
      <c r="O30"/>
      <c r="P30"/>
      <c r="Q30"/>
      <c r="R30"/>
      <c r="S30"/>
      <c r="T30"/>
      <c r="U30"/>
      <c r="V30"/>
      <c r="W30"/>
      <c r="X30"/>
      <c r="Y30"/>
      <c r="Z30"/>
    </row>
    <row r="31" spans="2:26" ht="18">
      <c r="B31" s="57"/>
      <c r="C31" s="9" t="s">
        <v>53</v>
      </c>
      <c r="D31" s="23" t="s">
        <v>49</v>
      </c>
      <c r="E31" s="7" t="s">
        <v>13</v>
      </c>
      <c r="F31" s="4" t="s">
        <v>44</v>
      </c>
      <c r="O31"/>
      <c r="P31"/>
      <c r="Q31"/>
      <c r="R31"/>
      <c r="S31"/>
      <c r="T31"/>
      <c r="U31"/>
      <c r="V31"/>
      <c r="W31"/>
      <c r="X31"/>
      <c r="Y31"/>
      <c r="Z31"/>
    </row>
    <row r="32" spans="2:26" ht="18">
      <c r="B32" s="57"/>
      <c r="C32" s="9" t="s">
        <v>54</v>
      </c>
      <c r="D32" s="23">
        <v>1</v>
      </c>
      <c r="E32" s="7" t="s">
        <v>13</v>
      </c>
      <c r="F32" s="4" t="s">
        <v>44</v>
      </c>
      <c r="O32"/>
      <c r="P32"/>
      <c r="Q32"/>
      <c r="R32"/>
      <c r="S32"/>
      <c r="T32"/>
      <c r="U32"/>
      <c r="V32"/>
      <c r="W32"/>
      <c r="X32"/>
      <c r="Y32"/>
      <c r="Z32"/>
    </row>
    <row r="33" spans="2:26" ht="18">
      <c r="B33" s="57"/>
      <c r="C33" s="9" t="s">
        <v>55</v>
      </c>
      <c r="D33" s="23" t="s">
        <v>49</v>
      </c>
      <c r="E33" s="8" t="s">
        <v>56</v>
      </c>
      <c r="F33" s="4" t="s">
        <v>44</v>
      </c>
      <c r="O33"/>
      <c r="P33"/>
      <c r="Q33"/>
      <c r="R33"/>
      <c r="S33"/>
      <c r="T33"/>
      <c r="U33"/>
      <c r="V33"/>
      <c r="W33"/>
      <c r="X33"/>
      <c r="Y33"/>
      <c r="Z33"/>
    </row>
    <row r="34" spans="2:26" ht="18">
      <c r="B34" s="58"/>
      <c r="C34" s="9" t="s">
        <v>57</v>
      </c>
      <c r="D34" s="23">
        <v>5400</v>
      </c>
      <c r="E34" s="8" t="s">
        <v>56</v>
      </c>
      <c r="F34" s="4" t="s">
        <v>44</v>
      </c>
      <c r="O34"/>
      <c r="P34"/>
      <c r="Q34"/>
      <c r="R34"/>
      <c r="S34"/>
      <c r="T34"/>
      <c r="U34"/>
      <c r="V34"/>
      <c r="W34"/>
      <c r="X34"/>
      <c r="Y34"/>
      <c r="Z34"/>
    </row>
    <row r="35" spans="2:26" ht="18">
      <c r="B35" s="52" t="s">
        <v>58</v>
      </c>
      <c r="C35" s="9" t="s">
        <v>59</v>
      </c>
      <c r="D35" s="25">
        <v>0.21</v>
      </c>
      <c r="E35" s="7" t="s">
        <v>13</v>
      </c>
      <c r="F35" s="4" t="s">
        <v>44</v>
      </c>
      <c r="O35"/>
      <c r="P35"/>
      <c r="Q35"/>
      <c r="R35"/>
      <c r="S35"/>
      <c r="T35"/>
      <c r="U35"/>
      <c r="V35"/>
      <c r="W35"/>
      <c r="X35"/>
      <c r="Y35"/>
      <c r="Z35"/>
    </row>
    <row r="36" spans="2:26" ht="18">
      <c r="B36" s="53"/>
      <c r="C36" s="9" t="s">
        <v>60</v>
      </c>
      <c r="D36" s="25">
        <v>0.53</v>
      </c>
      <c r="E36" s="7" t="s">
        <v>13</v>
      </c>
      <c r="F36" s="4" t="s">
        <v>44</v>
      </c>
      <c r="O36"/>
      <c r="P36"/>
      <c r="Q36"/>
      <c r="R36"/>
      <c r="S36"/>
      <c r="T36"/>
      <c r="U36"/>
      <c r="V36"/>
      <c r="W36"/>
      <c r="X36"/>
      <c r="Y36"/>
      <c r="Z36"/>
    </row>
    <row r="37" spans="2:26" ht="18">
      <c r="B37" s="59" t="s">
        <v>61</v>
      </c>
      <c r="C37" s="10" t="s">
        <v>62</v>
      </c>
      <c r="D37" s="26"/>
      <c r="E37" s="11" t="s">
        <v>63</v>
      </c>
      <c r="F37" s="4" t="s">
        <v>64</v>
      </c>
      <c r="O37"/>
      <c r="P37"/>
      <c r="Q37"/>
      <c r="R37"/>
      <c r="S37"/>
      <c r="T37"/>
      <c r="U37"/>
      <c r="V37"/>
      <c r="W37"/>
      <c r="X37"/>
      <c r="Y37"/>
      <c r="Z37"/>
    </row>
    <row r="38" spans="2:26" ht="18">
      <c r="B38" s="60"/>
      <c r="C38" s="10" t="s">
        <v>65</v>
      </c>
      <c r="D38" s="26"/>
      <c r="E38" s="11" t="s">
        <v>63</v>
      </c>
      <c r="F38" s="4" t="s">
        <v>66</v>
      </c>
      <c r="O38"/>
      <c r="P38"/>
      <c r="Q38"/>
      <c r="R38"/>
      <c r="S38"/>
      <c r="T38"/>
      <c r="U38"/>
      <c r="V38"/>
      <c r="W38"/>
      <c r="X38"/>
      <c r="Y38"/>
      <c r="Z38"/>
    </row>
    <row r="39" spans="2:26" ht="18">
      <c r="B39" s="60"/>
      <c r="C39" s="10" t="s">
        <v>67</v>
      </c>
      <c r="D39" s="26"/>
      <c r="E39" s="11" t="s">
        <v>63</v>
      </c>
      <c r="F39" s="4" t="s">
        <v>68</v>
      </c>
      <c r="O39"/>
      <c r="P39"/>
      <c r="Q39"/>
      <c r="R39"/>
      <c r="S39"/>
      <c r="T39"/>
      <c r="U39"/>
      <c r="V39"/>
      <c r="W39"/>
      <c r="X39"/>
      <c r="Y39"/>
      <c r="Z39"/>
    </row>
    <row r="40" spans="2:26" ht="18">
      <c r="B40" s="61"/>
      <c r="C40" s="10" t="s">
        <v>69</v>
      </c>
      <c r="D40" s="26"/>
      <c r="E40" s="11" t="s">
        <v>63</v>
      </c>
      <c r="F40" s="4" t="s">
        <v>70</v>
      </c>
      <c r="O40"/>
      <c r="P40"/>
      <c r="Q40"/>
      <c r="R40"/>
      <c r="S40"/>
      <c r="T40"/>
      <c r="U40"/>
      <c r="V40"/>
      <c r="W40"/>
      <c r="X40"/>
      <c r="Y40"/>
      <c r="Z40"/>
    </row>
    <row r="41" spans="2:26" ht="18">
      <c r="C41" s="12" t="s">
        <v>71</v>
      </c>
      <c r="D41"/>
      <c r="E41"/>
      <c r="F41"/>
      <c r="O41"/>
      <c r="P41"/>
      <c r="Q41"/>
      <c r="R41"/>
      <c r="S41"/>
      <c r="T41"/>
      <c r="U41"/>
      <c r="V41"/>
      <c r="W41"/>
      <c r="X41"/>
      <c r="Y41"/>
      <c r="Z41"/>
    </row>
    <row r="42" spans="2:26" ht="18">
      <c r="O42"/>
      <c r="P42"/>
      <c r="Q42"/>
      <c r="R42"/>
      <c r="S42"/>
      <c r="T42"/>
      <c r="U42"/>
      <c r="V42"/>
      <c r="W42"/>
      <c r="X42"/>
      <c r="Y42"/>
      <c r="Z42"/>
    </row>
    <row r="43" spans="2:26" ht="18">
      <c r="G43" s="2" t="s">
        <v>0</v>
      </c>
      <c r="O43"/>
      <c r="P43"/>
      <c r="Q43"/>
      <c r="R43"/>
      <c r="S43"/>
      <c r="T43"/>
      <c r="U43"/>
      <c r="V43"/>
      <c r="W43"/>
      <c r="X43"/>
      <c r="Y43"/>
      <c r="Z43"/>
    </row>
    <row r="44" spans="2:26" ht="19.899999999999999">
      <c r="B44" s="54" t="s">
        <v>72</v>
      </c>
      <c r="C44" s="54"/>
      <c r="D44" s="54"/>
      <c r="E44" s="54"/>
      <c r="F44" s="54"/>
      <c r="O44"/>
      <c r="P44"/>
      <c r="Q44"/>
      <c r="R44"/>
      <c r="S44"/>
      <c r="T44"/>
      <c r="U44"/>
      <c r="V44"/>
      <c r="W44"/>
      <c r="X44"/>
      <c r="Y44"/>
      <c r="Z44"/>
    </row>
    <row r="45" spans="2:26" ht="18">
      <c r="O45"/>
      <c r="P45"/>
      <c r="Q45"/>
      <c r="R45"/>
      <c r="S45"/>
      <c r="T45"/>
      <c r="U45"/>
      <c r="V45"/>
      <c r="W45"/>
      <c r="X45"/>
      <c r="Y45"/>
      <c r="Z45"/>
    </row>
    <row r="46" spans="2:26" ht="18">
      <c r="B46" s="1" t="s">
        <v>2</v>
      </c>
      <c r="O46"/>
      <c r="P46"/>
      <c r="Q46"/>
      <c r="R46"/>
      <c r="S46"/>
      <c r="T46"/>
      <c r="U46"/>
      <c r="V46"/>
      <c r="W46"/>
      <c r="X46"/>
      <c r="Y46"/>
      <c r="Z46"/>
    </row>
    <row r="47" spans="2:26" ht="18">
      <c r="F47" s="3" t="str">
        <f>F5</f>
        <v>スパークス・グリーンエナジー＆テクノロジー株式会社</v>
      </c>
      <c r="O47"/>
      <c r="P47"/>
      <c r="Q47"/>
      <c r="R47"/>
      <c r="S47"/>
      <c r="T47"/>
      <c r="U47"/>
      <c r="V47"/>
      <c r="W47"/>
      <c r="X47"/>
      <c r="Y47"/>
      <c r="Z47"/>
    </row>
    <row r="48" spans="2:26" ht="18">
      <c r="O48"/>
      <c r="P48"/>
      <c r="Q48"/>
      <c r="R48"/>
      <c r="S48"/>
      <c r="T48"/>
      <c r="U48"/>
      <c r="V48"/>
      <c r="W48"/>
      <c r="X48"/>
      <c r="Y48"/>
      <c r="Z48"/>
    </row>
    <row r="49" spans="2:26" ht="18">
      <c r="B49" s="1" t="s">
        <v>4</v>
      </c>
      <c r="O49"/>
      <c r="P49"/>
      <c r="Q49"/>
      <c r="R49"/>
      <c r="S49"/>
      <c r="T49"/>
      <c r="U49"/>
      <c r="V49"/>
      <c r="W49"/>
      <c r="X49"/>
      <c r="Y49"/>
      <c r="Z49"/>
    </row>
    <row r="50" spans="2:26" ht="12" customHeight="1">
      <c r="O50"/>
      <c r="P50"/>
      <c r="Q50"/>
      <c r="R50"/>
      <c r="S50"/>
      <c r="T50"/>
      <c r="U50"/>
      <c r="V50"/>
      <c r="W50"/>
      <c r="X50"/>
      <c r="Y50"/>
      <c r="Z50"/>
    </row>
    <row r="51" spans="2:26" ht="18">
      <c r="B51" s="4" t="s">
        <v>5</v>
      </c>
      <c r="C51" s="19">
        <f>C9</f>
        <v>46017</v>
      </c>
      <c r="D51" s="4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2:26" ht="18">
      <c r="B52" s="4" t="s">
        <v>6</v>
      </c>
      <c r="C52" s="19">
        <f>C10</f>
        <v>46053</v>
      </c>
      <c r="D52" s="4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2:26" ht="18">
      <c r="P53"/>
      <c r="Q53"/>
      <c r="R53"/>
      <c r="S53"/>
      <c r="T53"/>
      <c r="U53"/>
      <c r="V53"/>
    </row>
    <row r="54" spans="2:26" ht="18">
      <c r="P54"/>
      <c r="Q54"/>
      <c r="R54"/>
      <c r="S54"/>
      <c r="T54"/>
      <c r="U54"/>
      <c r="V54"/>
    </row>
    <row r="55" spans="2:26" ht="18">
      <c r="B55" s="1" t="s">
        <v>7</v>
      </c>
      <c r="P55"/>
      <c r="Q55"/>
      <c r="R55"/>
      <c r="S55"/>
      <c r="T55"/>
      <c r="U55"/>
      <c r="V55"/>
    </row>
    <row r="56" spans="2:26" ht="18">
      <c r="B56" s="55" t="s">
        <v>8</v>
      </c>
      <c r="C56" s="55"/>
      <c r="D56" s="55"/>
      <c r="E56" s="55"/>
      <c r="F56" s="5" t="s">
        <v>9</v>
      </c>
      <c r="P56"/>
      <c r="Q56"/>
      <c r="R56"/>
      <c r="S56"/>
      <c r="T56"/>
      <c r="U56"/>
      <c r="V56"/>
    </row>
    <row r="57" spans="2:26" ht="18">
      <c r="B57" s="56" t="s">
        <v>10</v>
      </c>
      <c r="C57" s="6" t="s">
        <v>11</v>
      </c>
      <c r="D57" s="14" t="str">
        <f>D15</f>
        <v>SGET南相馬メガソーラー発電所</v>
      </c>
      <c r="E57" s="7" t="s">
        <v>13</v>
      </c>
      <c r="F57" s="4"/>
      <c r="P57"/>
      <c r="Q57"/>
      <c r="R57"/>
      <c r="S57"/>
      <c r="T57"/>
      <c r="U57"/>
      <c r="V57"/>
    </row>
    <row r="58" spans="2:26" ht="18">
      <c r="B58" s="57"/>
      <c r="C58" s="6" t="s">
        <v>14</v>
      </c>
      <c r="D58" s="15" t="str">
        <f>D16</f>
        <v>福島県南相馬市小高区井田川字北折田142</v>
      </c>
      <c r="E58" s="7" t="s">
        <v>13</v>
      </c>
      <c r="F58" s="4"/>
      <c r="P58"/>
      <c r="Q58"/>
      <c r="R58"/>
      <c r="S58"/>
      <c r="T58"/>
      <c r="U58"/>
      <c r="V58"/>
    </row>
    <row r="59" spans="2:26" ht="18">
      <c r="B59" s="57"/>
      <c r="C59" s="6" t="s">
        <v>16</v>
      </c>
      <c r="D59" s="15">
        <f>D17</f>
        <v>37.313600000000001</v>
      </c>
      <c r="E59" s="8" t="s">
        <v>17</v>
      </c>
      <c r="F59" s="4" t="s">
        <v>18</v>
      </c>
      <c r="P59"/>
      <c r="Q59"/>
      <c r="R59"/>
      <c r="S59"/>
      <c r="T59"/>
      <c r="U59"/>
      <c r="V59"/>
    </row>
    <row r="60" spans="2:26" ht="18">
      <c r="B60" s="57"/>
      <c r="C60" s="6" t="s">
        <v>19</v>
      </c>
      <c r="D60" s="15">
        <f>D18</f>
        <v>141.01</v>
      </c>
      <c r="E60" s="8" t="s">
        <v>17</v>
      </c>
      <c r="F60" s="4" t="s">
        <v>20</v>
      </c>
      <c r="P60"/>
      <c r="Q60"/>
      <c r="R60"/>
      <c r="S60"/>
      <c r="T60"/>
      <c r="U60"/>
      <c r="V60"/>
    </row>
    <row r="61" spans="2:26" ht="18">
      <c r="B61" s="58"/>
      <c r="C61" s="6" t="s">
        <v>24</v>
      </c>
      <c r="D61" s="16">
        <f>D20</f>
        <v>8025000</v>
      </c>
      <c r="E61" s="18" t="s">
        <v>25</v>
      </c>
      <c r="F61" s="4"/>
      <c r="P61"/>
      <c r="Q61"/>
      <c r="R61"/>
      <c r="S61"/>
      <c r="T61"/>
      <c r="U61"/>
      <c r="V61"/>
    </row>
    <row r="62" spans="2:26" ht="18">
      <c r="B62" s="59" t="s">
        <v>61</v>
      </c>
      <c r="C62" s="10" t="s">
        <v>62</v>
      </c>
      <c r="D62" s="17"/>
      <c r="E62" s="11" t="s">
        <v>63</v>
      </c>
      <c r="F62" s="4" t="s">
        <v>64</v>
      </c>
      <c r="P62"/>
      <c r="Q62"/>
      <c r="R62"/>
      <c r="S62"/>
      <c r="T62"/>
      <c r="U62"/>
      <c r="V62"/>
    </row>
    <row r="63" spans="2:26">
      <c r="B63" s="60"/>
      <c r="C63" s="10" t="s">
        <v>65</v>
      </c>
      <c r="D63" s="17"/>
      <c r="E63" s="11" t="s">
        <v>63</v>
      </c>
      <c r="F63" s="4" t="s">
        <v>66</v>
      </c>
    </row>
    <row r="64" spans="2:26">
      <c r="B64" s="60"/>
      <c r="C64" s="10" t="s">
        <v>67</v>
      </c>
      <c r="D64" s="17"/>
      <c r="E64" s="11" t="s">
        <v>63</v>
      </c>
      <c r="F64" s="4" t="s">
        <v>68</v>
      </c>
    </row>
    <row r="65" spans="2:9">
      <c r="B65" s="61"/>
      <c r="C65" s="10" t="s">
        <v>69</v>
      </c>
      <c r="D65" s="17"/>
      <c r="E65" s="11" t="s">
        <v>63</v>
      </c>
      <c r="F65" s="4" t="s">
        <v>70</v>
      </c>
    </row>
    <row r="66" spans="2:9" ht="18">
      <c r="C66" s="12"/>
      <c r="D66"/>
      <c r="E66"/>
      <c r="F66"/>
    </row>
    <row r="68" spans="2:9" ht="18">
      <c r="B68"/>
      <c r="C68"/>
      <c r="D68"/>
      <c r="E68"/>
      <c r="F68"/>
      <c r="H68"/>
      <c r="I68"/>
    </row>
    <row r="69" spans="2:9" ht="18">
      <c r="B69"/>
      <c r="C69"/>
      <c r="D69"/>
      <c r="E69"/>
      <c r="F69"/>
      <c r="H69"/>
      <c r="I69"/>
    </row>
    <row r="70" spans="2:9" ht="18">
      <c r="C70"/>
      <c r="D70"/>
      <c r="E70"/>
      <c r="F70"/>
      <c r="G70" s="13"/>
      <c r="H70"/>
      <c r="I70"/>
    </row>
    <row r="71" spans="2:9" ht="18">
      <c r="C71"/>
      <c r="D71"/>
      <c r="E71"/>
      <c r="F71"/>
      <c r="G71" s="13"/>
      <c r="H71"/>
      <c r="I71"/>
    </row>
    <row r="72" spans="2:9" ht="18">
      <c r="C72"/>
      <c r="D72"/>
      <c r="E72"/>
      <c r="F72"/>
      <c r="G72" s="13"/>
      <c r="H72"/>
      <c r="I72"/>
    </row>
    <row r="73" spans="2:9" ht="18">
      <c r="C73"/>
      <c r="D73"/>
      <c r="E73"/>
      <c r="F73"/>
      <c r="G73" s="13"/>
      <c r="H73"/>
      <c r="I73"/>
    </row>
    <row r="74" spans="2:9" ht="18">
      <c r="C74"/>
      <c r="D74"/>
      <c r="E74"/>
      <c r="F74"/>
      <c r="G74" s="13"/>
      <c r="H74"/>
      <c r="I74"/>
    </row>
    <row r="75" spans="2:9" ht="18">
      <c r="C75"/>
      <c r="D75"/>
      <c r="E75"/>
      <c r="F75"/>
      <c r="G75" s="13"/>
      <c r="H75"/>
      <c r="I75"/>
    </row>
    <row r="76" spans="2:9" ht="18">
      <c r="C76"/>
      <c r="D76"/>
      <c r="E76"/>
      <c r="F76"/>
    </row>
    <row r="77" spans="2:9" ht="18">
      <c r="C77"/>
      <c r="D77"/>
      <c r="E77"/>
      <c r="F77"/>
    </row>
    <row r="78" spans="2:9" ht="18">
      <c r="C78"/>
      <c r="D78"/>
      <c r="E78"/>
      <c r="F78"/>
    </row>
    <row r="79" spans="2:9" ht="18">
      <c r="C79"/>
      <c r="D79"/>
      <c r="E79"/>
      <c r="F79"/>
    </row>
    <row r="80" spans="2:9" ht="18">
      <c r="C80"/>
      <c r="D80"/>
      <c r="E80"/>
      <c r="F80"/>
    </row>
    <row r="81" spans="2:6" ht="18">
      <c r="C81"/>
      <c r="D81"/>
      <c r="E81"/>
      <c r="F81"/>
    </row>
    <row r="82" spans="2:6" ht="18">
      <c r="C82"/>
      <c r="D82"/>
      <c r="E82"/>
      <c r="F82"/>
    </row>
    <row r="83" spans="2:6" ht="18">
      <c r="C83"/>
      <c r="D83"/>
      <c r="E83"/>
      <c r="F83"/>
    </row>
    <row r="84" spans="2:6" ht="18">
      <c r="C84"/>
      <c r="D84"/>
      <c r="E84"/>
      <c r="F84"/>
    </row>
    <row r="85" spans="2:6" ht="18">
      <c r="C85"/>
      <c r="D85"/>
      <c r="E85"/>
      <c r="F85"/>
    </row>
    <row r="86" spans="2:6" ht="18">
      <c r="C86"/>
      <c r="D86"/>
      <c r="E86"/>
      <c r="F86"/>
    </row>
    <row r="87" spans="2:6" ht="18">
      <c r="C87"/>
      <c r="D87"/>
      <c r="E87"/>
      <c r="F87"/>
    </row>
    <row r="88" spans="2:6" ht="18">
      <c r="C88"/>
      <c r="D88"/>
      <c r="E88"/>
      <c r="F88"/>
    </row>
    <row r="89" spans="2:6" ht="18">
      <c r="C89"/>
      <c r="D89"/>
      <c r="E89"/>
      <c r="F89"/>
    </row>
    <row r="90" spans="2:6" ht="18">
      <c r="C90"/>
      <c r="D90"/>
      <c r="E90"/>
      <c r="F90"/>
    </row>
    <row r="91" spans="2:6" ht="18">
      <c r="C91"/>
      <c r="D91"/>
      <c r="E91"/>
      <c r="F91"/>
    </row>
    <row r="92" spans="2:6" ht="18">
      <c r="C92"/>
      <c r="D92"/>
      <c r="E92"/>
      <c r="F92"/>
    </row>
    <row r="93" spans="2:6" ht="18">
      <c r="C93"/>
      <c r="D93"/>
      <c r="E93"/>
      <c r="F93"/>
    </row>
    <row r="94" spans="2:6" ht="18">
      <c r="C94"/>
      <c r="D94"/>
      <c r="E94"/>
      <c r="F94"/>
    </row>
    <row r="95" spans="2:6" ht="18">
      <c r="C95"/>
      <c r="D95"/>
      <c r="E95"/>
      <c r="F95"/>
    </row>
    <row r="96" spans="2:6" ht="18">
      <c r="B96"/>
      <c r="C96"/>
      <c r="D96"/>
      <c r="E96"/>
      <c r="F96"/>
    </row>
    <row r="97" spans="2:6" ht="13.5" customHeight="1">
      <c r="B97"/>
      <c r="C97"/>
      <c r="D97"/>
      <c r="E97"/>
      <c r="F97"/>
    </row>
    <row r="98" spans="2:6" ht="18">
      <c r="B98"/>
      <c r="C98"/>
      <c r="D98"/>
      <c r="E98"/>
      <c r="F98"/>
    </row>
    <row r="99" spans="2:6" ht="18">
      <c r="B99"/>
      <c r="C99"/>
      <c r="D99"/>
      <c r="E99"/>
      <c r="F99"/>
    </row>
    <row r="100" spans="2:6" ht="18">
      <c r="B100"/>
      <c r="C100"/>
      <c r="D100"/>
      <c r="E100"/>
      <c r="F100"/>
    </row>
    <row r="101" spans="2:6" ht="18">
      <c r="B101"/>
      <c r="C101"/>
      <c r="D101"/>
      <c r="E101"/>
      <c r="F101"/>
    </row>
    <row r="102" spans="2:6" ht="18">
      <c r="B102"/>
      <c r="C102"/>
      <c r="D102"/>
      <c r="E102"/>
      <c r="F102"/>
    </row>
    <row r="103" spans="2:6" ht="18">
      <c r="B103"/>
      <c r="C103"/>
      <c r="D103"/>
      <c r="E103"/>
      <c r="F103"/>
    </row>
    <row r="104" spans="2:6" ht="18">
      <c r="B104"/>
      <c r="C104"/>
      <c r="D104"/>
      <c r="E104"/>
      <c r="F104"/>
    </row>
    <row r="105" spans="2:6" ht="18">
      <c r="B105"/>
      <c r="C105"/>
      <c r="D105"/>
      <c r="E105"/>
      <c r="F105"/>
    </row>
  </sheetData>
  <mergeCells count="11">
    <mergeCell ref="B37:B40"/>
    <mergeCell ref="B44:F44"/>
    <mergeCell ref="B56:E56"/>
    <mergeCell ref="B57:B61"/>
    <mergeCell ref="B62:B65"/>
    <mergeCell ref="B35:B36"/>
    <mergeCell ref="B2:F2"/>
    <mergeCell ref="B14:E14"/>
    <mergeCell ref="B15:B20"/>
    <mergeCell ref="B21:B25"/>
    <mergeCell ref="B26:B34"/>
  </mergeCells>
  <phoneticPr fontId="3"/>
  <dataValidations count="3">
    <dataValidation type="list" allowBlank="1" showInputMessage="1" showErrorMessage="1" sqref="D26" xr:uid="{DD12E35F-1998-4F15-8BCE-C037883DD9B1}">
      <formula1>"JIS-C8955(2004年版),JIS-C8955(2017年版),NEDOガイドライン(2019年版)"</formula1>
    </dataValidation>
    <dataValidation type="list" allowBlank="1" showInputMessage="1" showErrorMessage="1" sqref="D21" xr:uid="{D3FFAFF2-8695-4470-9FF0-BBB762C23286}">
      <formula1>"極めて重要,通常"</formula1>
    </dataValidation>
    <dataValidation type="list" allowBlank="1" showInputMessage="1" showErrorMessage="1" sqref="D28" xr:uid="{DB2D2E09-8ADF-4F59-8E2E-9E1E8EA6DA55}">
      <formula1>"Ⅰ,Ⅱ,Ⅲ,Ⅳ"</formula1>
    </dataValidation>
  </dataValidations>
  <pageMargins left="0.25" right="0.25" top="0.75" bottom="0.75" header="0.3" footer="0.3"/>
  <pageSetup paperSize="9" scale="59" orientation="portrait" r:id="rId1"/>
  <colBreaks count="1" manualBreakCount="1">
    <brk id="1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6F032-4DE7-4B07-9655-796688BB5E35}">
  <sheetPr>
    <tabColor rgb="FF00B050"/>
    <pageSetUpPr fitToPage="1"/>
  </sheetPr>
  <dimension ref="B1:Z105"/>
  <sheetViews>
    <sheetView showOutlineSymbols="0" view="pageBreakPreview" topLeftCell="A18" zoomScale="80" zoomScaleNormal="100" zoomScaleSheetLayoutView="80" workbookViewId="0">
      <selection activeCell="D25" sqref="D25"/>
    </sheetView>
  </sheetViews>
  <sheetFormatPr defaultColWidth="9" defaultRowHeight="16.149999999999999"/>
  <cols>
    <col min="1" max="1" width="7.125" style="1" customWidth="1"/>
    <col min="2" max="2" width="10.75" style="1" customWidth="1"/>
    <col min="3" max="3" width="24.25" style="1" customWidth="1"/>
    <col min="4" max="4" width="25.875" style="1" bestFit="1" customWidth="1"/>
    <col min="5" max="5" width="6.375" style="1" customWidth="1"/>
    <col min="6" max="6" width="61.75" style="1" customWidth="1"/>
    <col min="7" max="7" width="8.25" style="1" customWidth="1"/>
    <col min="8" max="15" width="10.75" style="1" customWidth="1"/>
    <col min="16" max="17" width="9" style="1"/>
    <col min="18" max="18" width="10.75" style="1" bestFit="1" customWidth="1"/>
    <col min="19" max="20" width="10.5" style="1" customWidth="1"/>
    <col min="21" max="16384" width="9" style="1"/>
  </cols>
  <sheetData>
    <row r="1" spans="2:26">
      <c r="G1" s="2" t="s">
        <v>0</v>
      </c>
    </row>
    <row r="2" spans="2:26" ht="19.899999999999999">
      <c r="B2" s="54" t="s">
        <v>1</v>
      </c>
      <c r="C2" s="54"/>
      <c r="D2" s="54"/>
      <c r="E2" s="54"/>
      <c r="F2" s="54"/>
    </row>
    <row r="4" spans="2:26">
      <c r="B4" s="1" t="s">
        <v>2</v>
      </c>
    </row>
    <row r="5" spans="2:26">
      <c r="F5" s="3" t="s">
        <v>3</v>
      </c>
    </row>
    <row r="7" spans="2:26">
      <c r="B7" s="1" t="s">
        <v>4</v>
      </c>
    </row>
    <row r="9" spans="2:26">
      <c r="B9" s="4" t="s">
        <v>5</v>
      </c>
      <c r="C9" s="19">
        <v>46017</v>
      </c>
      <c r="D9" s="4"/>
    </row>
    <row r="10" spans="2:26">
      <c r="B10" s="4" t="s">
        <v>6</v>
      </c>
      <c r="C10" s="19">
        <v>46053</v>
      </c>
      <c r="D10" s="4"/>
    </row>
    <row r="13" spans="2:26" ht="18">
      <c r="B13" s="1" t="s">
        <v>7</v>
      </c>
      <c r="O13"/>
      <c r="P13"/>
      <c r="Q13"/>
      <c r="R13"/>
      <c r="S13"/>
      <c r="T13"/>
      <c r="U13"/>
      <c r="V13"/>
      <c r="W13"/>
      <c r="X13"/>
      <c r="Y13"/>
      <c r="Z13"/>
    </row>
    <row r="14" spans="2:26" ht="18">
      <c r="B14" s="55" t="s">
        <v>8</v>
      </c>
      <c r="C14" s="55"/>
      <c r="D14" s="55"/>
      <c r="E14" s="55"/>
      <c r="F14" s="5" t="s">
        <v>9</v>
      </c>
      <c r="O14"/>
      <c r="P14"/>
      <c r="Q14"/>
      <c r="R14"/>
      <c r="S14"/>
      <c r="T14"/>
      <c r="U14"/>
      <c r="V14"/>
      <c r="W14"/>
      <c r="X14"/>
      <c r="Y14"/>
      <c r="Z14"/>
    </row>
    <row r="15" spans="2:26" ht="18">
      <c r="B15" s="56" t="s">
        <v>10</v>
      </c>
      <c r="C15" s="6" t="s">
        <v>11</v>
      </c>
      <c r="D15" s="14" t="s">
        <v>98</v>
      </c>
      <c r="E15" s="7" t="s">
        <v>13</v>
      </c>
      <c r="F15" s="4"/>
      <c r="O15"/>
      <c r="P15"/>
      <c r="Q15"/>
      <c r="R15"/>
      <c r="S15"/>
      <c r="T15"/>
      <c r="U15"/>
      <c r="V15"/>
      <c r="W15"/>
      <c r="X15"/>
      <c r="Y15"/>
      <c r="Z15"/>
    </row>
    <row r="16" spans="2:26" ht="18">
      <c r="B16" s="57"/>
      <c r="C16" s="6" t="s">
        <v>14</v>
      </c>
      <c r="D16" s="15" t="s">
        <v>99</v>
      </c>
      <c r="E16" s="7" t="s">
        <v>13</v>
      </c>
      <c r="F16" s="4"/>
      <c r="O16"/>
      <c r="P16"/>
      <c r="Q16"/>
      <c r="R16"/>
      <c r="S16"/>
      <c r="T16"/>
      <c r="U16"/>
      <c r="V16"/>
      <c r="W16"/>
      <c r="X16"/>
      <c r="Y16"/>
      <c r="Z16"/>
    </row>
    <row r="17" spans="2:26" ht="18">
      <c r="B17" s="57"/>
      <c r="C17" s="6" t="s">
        <v>16</v>
      </c>
      <c r="D17" s="15">
        <v>37.35</v>
      </c>
      <c r="E17" s="8" t="s">
        <v>17</v>
      </c>
      <c r="F17" s="4" t="s">
        <v>18</v>
      </c>
      <c r="O17"/>
      <c r="P17"/>
      <c r="Q17"/>
      <c r="R17"/>
      <c r="S17"/>
      <c r="T17"/>
      <c r="U17"/>
      <c r="V17"/>
      <c r="W17"/>
      <c r="X17"/>
      <c r="Y17"/>
      <c r="Z17"/>
    </row>
    <row r="18" spans="2:26" ht="18">
      <c r="B18" s="57"/>
      <c r="C18" s="6" t="s">
        <v>19</v>
      </c>
      <c r="D18" s="15">
        <v>141.0104</v>
      </c>
      <c r="E18" s="8" t="s">
        <v>17</v>
      </c>
      <c r="F18" s="4" t="s">
        <v>20</v>
      </c>
      <c r="O18"/>
      <c r="P18"/>
      <c r="Q18"/>
      <c r="R18"/>
      <c r="S18"/>
      <c r="T18"/>
      <c r="U18"/>
      <c r="V18"/>
      <c r="W18"/>
      <c r="X18"/>
      <c r="Y18"/>
      <c r="Z18"/>
    </row>
    <row r="19" spans="2:26" ht="18">
      <c r="B19" s="57"/>
      <c r="C19" s="6" t="s">
        <v>21</v>
      </c>
      <c r="D19" s="27">
        <v>44013</v>
      </c>
      <c r="E19" s="7" t="s">
        <v>22</v>
      </c>
      <c r="F19" s="4" t="s">
        <v>23</v>
      </c>
      <c r="O19"/>
      <c r="P19"/>
      <c r="Q19"/>
      <c r="R19"/>
      <c r="S19"/>
      <c r="T19"/>
      <c r="U19"/>
      <c r="V19"/>
      <c r="W19"/>
      <c r="X19"/>
      <c r="Y19"/>
      <c r="Z19"/>
    </row>
    <row r="20" spans="2:26" ht="18">
      <c r="B20" s="58"/>
      <c r="C20" s="6" t="s">
        <v>24</v>
      </c>
      <c r="D20" s="20">
        <v>8283267</v>
      </c>
      <c r="E20" s="18" t="s">
        <v>25</v>
      </c>
      <c r="F20" s="4"/>
      <c r="O20"/>
      <c r="P20"/>
      <c r="Q20"/>
      <c r="R20"/>
      <c r="S20"/>
      <c r="T20"/>
      <c r="U20"/>
      <c r="V20"/>
      <c r="W20"/>
      <c r="X20"/>
      <c r="Y20"/>
      <c r="Z20"/>
    </row>
    <row r="21" spans="2:26" ht="18">
      <c r="B21" s="56" t="s">
        <v>26</v>
      </c>
      <c r="C21" s="6" t="s">
        <v>27</v>
      </c>
      <c r="D21" s="21" t="s">
        <v>28</v>
      </c>
      <c r="E21" s="7" t="s">
        <v>13</v>
      </c>
      <c r="F21" s="4" t="s">
        <v>29</v>
      </c>
      <c r="O21"/>
      <c r="P21"/>
      <c r="Q21"/>
      <c r="R21"/>
      <c r="S21"/>
      <c r="T21"/>
      <c r="U21"/>
      <c r="V21"/>
      <c r="W21"/>
      <c r="X21"/>
      <c r="Y21"/>
      <c r="Z21"/>
    </row>
    <row r="22" spans="2:26" ht="18">
      <c r="B22" s="57"/>
      <c r="C22" s="9" t="s">
        <v>30</v>
      </c>
      <c r="D22" s="21">
        <v>10</v>
      </c>
      <c r="E22" s="8" t="s">
        <v>31</v>
      </c>
      <c r="F22" s="4" t="s">
        <v>32</v>
      </c>
      <c r="O22"/>
      <c r="P22"/>
      <c r="Q22"/>
      <c r="R22"/>
      <c r="S22"/>
      <c r="T22"/>
      <c r="U22"/>
      <c r="V22"/>
      <c r="W22"/>
      <c r="X22"/>
      <c r="Y22"/>
      <c r="Z22"/>
    </row>
    <row r="23" spans="2:26" ht="18">
      <c r="B23" s="57"/>
      <c r="C23" s="9" t="s">
        <v>33</v>
      </c>
      <c r="D23" s="22">
        <f>(1.693-1)/2+1</f>
        <v>1.3465</v>
      </c>
      <c r="E23" s="8" t="s">
        <v>34</v>
      </c>
      <c r="F23" s="4" t="s">
        <v>32</v>
      </c>
      <c r="O23"/>
      <c r="P23"/>
      <c r="Q23"/>
      <c r="R23"/>
      <c r="S23"/>
      <c r="T23"/>
      <c r="U23"/>
      <c r="V23"/>
      <c r="W23"/>
      <c r="X23"/>
      <c r="Y23"/>
      <c r="Z23"/>
    </row>
    <row r="24" spans="2:26" ht="18">
      <c r="B24" s="57"/>
      <c r="C24" s="9" t="s">
        <v>35</v>
      </c>
      <c r="D24" s="22">
        <v>1</v>
      </c>
      <c r="E24" s="8" t="s">
        <v>34</v>
      </c>
      <c r="F24" s="4" t="s">
        <v>32</v>
      </c>
      <c r="O24"/>
      <c r="P24"/>
      <c r="Q24"/>
      <c r="R24"/>
      <c r="S24"/>
      <c r="T24"/>
      <c r="U24"/>
      <c r="V24"/>
      <c r="W24"/>
      <c r="X24"/>
      <c r="Y24"/>
      <c r="Z24"/>
    </row>
    <row r="25" spans="2:26" ht="18">
      <c r="B25" s="58"/>
      <c r="C25" s="9" t="s">
        <v>36</v>
      </c>
      <c r="D25" s="62">
        <v>3.9329999999999998</v>
      </c>
      <c r="E25" s="8" t="s">
        <v>37</v>
      </c>
      <c r="F25" s="4" t="s">
        <v>32</v>
      </c>
      <c r="O25"/>
      <c r="P25"/>
      <c r="Q25"/>
      <c r="R25"/>
      <c r="S25"/>
      <c r="T25"/>
      <c r="U25"/>
      <c r="V25"/>
      <c r="W25"/>
      <c r="X25"/>
      <c r="Y25"/>
      <c r="Z25"/>
    </row>
    <row r="26" spans="2:26" ht="18">
      <c r="B26" s="56" t="s">
        <v>38</v>
      </c>
      <c r="C26" s="9" t="s">
        <v>39</v>
      </c>
      <c r="D26" s="23" t="s">
        <v>96</v>
      </c>
      <c r="E26" s="7" t="s">
        <v>13</v>
      </c>
      <c r="F26" s="4" t="s">
        <v>41</v>
      </c>
      <c r="O26"/>
      <c r="P26"/>
      <c r="Q26"/>
      <c r="R26"/>
      <c r="S26"/>
      <c r="T26"/>
      <c r="U26"/>
      <c r="V26"/>
      <c r="W26"/>
      <c r="X26"/>
      <c r="Y26"/>
      <c r="Z26"/>
    </row>
    <row r="27" spans="2:26" ht="18">
      <c r="B27" s="57"/>
      <c r="C27" s="9" t="s">
        <v>42</v>
      </c>
      <c r="D27" s="24">
        <v>30</v>
      </c>
      <c r="E27" s="8" t="s">
        <v>43</v>
      </c>
      <c r="F27" s="4" t="s">
        <v>44</v>
      </c>
      <c r="O27"/>
      <c r="P27"/>
      <c r="Q27"/>
      <c r="R27"/>
      <c r="S27"/>
      <c r="T27"/>
      <c r="U27"/>
      <c r="V27"/>
      <c r="W27"/>
      <c r="X27"/>
      <c r="Y27"/>
      <c r="Z27"/>
    </row>
    <row r="28" spans="2:26" ht="18">
      <c r="B28" s="57"/>
      <c r="C28" s="9" t="s">
        <v>45</v>
      </c>
      <c r="D28" s="24" t="s">
        <v>97</v>
      </c>
      <c r="E28" s="7" t="s">
        <v>13</v>
      </c>
      <c r="F28" s="4" t="s">
        <v>47</v>
      </c>
      <c r="O28"/>
      <c r="P28"/>
      <c r="Q28"/>
      <c r="R28"/>
      <c r="S28"/>
      <c r="T28"/>
      <c r="U28"/>
      <c r="V28"/>
      <c r="W28"/>
      <c r="X28"/>
      <c r="Y28"/>
      <c r="Z28"/>
    </row>
    <row r="29" spans="2:26" ht="18">
      <c r="B29" s="57"/>
      <c r="C29" s="9" t="s">
        <v>48</v>
      </c>
      <c r="D29" s="24" t="s">
        <v>49</v>
      </c>
      <c r="E29" s="7" t="s">
        <v>13</v>
      </c>
      <c r="F29" s="4" t="s">
        <v>44</v>
      </c>
      <c r="O29"/>
      <c r="P29"/>
      <c r="Q29"/>
      <c r="R29"/>
      <c r="S29"/>
      <c r="T29"/>
      <c r="U29"/>
      <c r="V29"/>
      <c r="W29"/>
      <c r="X29"/>
      <c r="Y29"/>
      <c r="Z29"/>
    </row>
    <row r="30" spans="2:26" ht="18">
      <c r="B30" s="57"/>
      <c r="C30" s="9" t="s">
        <v>50</v>
      </c>
      <c r="D30" s="24">
        <v>30</v>
      </c>
      <c r="E30" s="8" t="s">
        <v>51</v>
      </c>
      <c r="F30" s="4" t="s">
        <v>52</v>
      </c>
      <c r="O30"/>
      <c r="P30"/>
      <c r="Q30"/>
      <c r="R30"/>
      <c r="S30"/>
      <c r="T30"/>
      <c r="U30"/>
      <c r="V30"/>
      <c r="W30"/>
      <c r="X30"/>
      <c r="Y30"/>
      <c r="Z30"/>
    </row>
    <row r="31" spans="2:26" ht="18">
      <c r="B31" s="57"/>
      <c r="C31" s="9" t="s">
        <v>53</v>
      </c>
      <c r="D31" s="23" t="s">
        <v>49</v>
      </c>
      <c r="E31" s="7" t="s">
        <v>13</v>
      </c>
      <c r="F31" s="4" t="s">
        <v>44</v>
      </c>
      <c r="O31"/>
      <c r="P31"/>
      <c r="Q31"/>
      <c r="R31"/>
      <c r="S31"/>
      <c r="T31"/>
      <c r="U31"/>
      <c r="V31"/>
      <c r="W31"/>
      <c r="X31"/>
      <c r="Y31"/>
      <c r="Z31"/>
    </row>
    <row r="32" spans="2:26" ht="18">
      <c r="B32" s="57"/>
      <c r="C32" s="9" t="s">
        <v>54</v>
      </c>
      <c r="D32" s="23">
        <v>1</v>
      </c>
      <c r="E32" s="7" t="s">
        <v>13</v>
      </c>
      <c r="F32" s="4" t="s">
        <v>44</v>
      </c>
      <c r="O32"/>
      <c r="P32"/>
      <c r="Q32"/>
      <c r="R32"/>
      <c r="S32"/>
      <c r="T32"/>
      <c r="U32"/>
      <c r="V32"/>
      <c r="W32"/>
      <c r="X32"/>
      <c r="Y32"/>
      <c r="Z32"/>
    </row>
    <row r="33" spans="2:26" ht="18">
      <c r="B33" s="57"/>
      <c r="C33" s="9" t="s">
        <v>55</v>
      </c>
      <c r="D33" s="23" t="s">
        <v>49</v>
      </c>
      <c r="E33" s="8" t="s">
        <v>56</v>
      </c>
      <c r="F33" s="4" t="s">
        <v>44</v>
      </c>
      <c r="O33"/>
      <c r="P33"/>
      <c r="Q33"/>
      <c r="R33"/>
      <c r="S33"/>
      <c r="T33"/>
      <c r="U33"/>
      <c r="V33"/>
      <c r="W33"/>
      <c r="X33"/>
      <c r="Y33"/>
      <c r="Z33"/>
    </row>
    <row r="34" spans="2:26" ht="18">
      <c r="B34" s="58"/>
      <c r="C34" s="9" t="s">
        <v>57</v>
      </c>
      <c r="D34" s="23">
        <v>5400</v>
      </c>
      <c r="E34" s="8" t="s">
        <v>56</v>
      </c>
      <c r="F34" s="4" t="s">
        <v>44</v>
      </c>
      <c r="O34"/>
      <c r="P34"/>
      <c r="Q34"/>
      <c r="R34"/>
      <c r="S34"/>
      <c r="T34"/>
      <c r="U34"/>
      <c r="V34"/>
      <c r="W34"/>
      <c r="X34"/>
      <c r="Y34"/>
      <c r="Z34"/>
    </row>
    <row r="35" spans="2:26" ht="18">
      <c r="B35" s="52" t="s">
        <v>58</v>
      </c>
      <c r="C35" s="9" t="s">
        <v>59</v>
      </c>
      <c r="D35" s="25">
        <v>0.12</v>
      </c>
      <c r="E35" s="7" t="s">
        <v>13</v>
      </c>
      <c r="F35" s="4" t="s">
        <v>44</v>
      </c>
      <c r="O35"/>
      <c r="P35"/>
      <c r="Q35"/>
      <c r="R35"/>
      <c r="S35"/>
      <c r="T35"/>
      <c r="U35"/>
      <c r="V35"/>
      <c r="W35"/>
      <c r="X35"/>
      <c r="Y35"/>
      <c r="Z35"/>
    </row>
    <row r="36" spans="2:26" ht="18">
      <c r="B36" s="53"/>
      <c r="C36" s="9" t="s">
        <v>60</v>
      </c>
      <c r="D36" s="25">
        <v>0.62</v>
      </c>
      <c r="E36" s="7" t="s">
        <v>13</v>
      </c>
      <c r="F36" s="4" t="s">
        <v>44</v>
      </c>
      <c r="O36"/>
      <c r="P36"/>
      <c r="Q36"/>
      <c r="R36"/>
      <c r="S36"/>
      <c r="T36"/>
      <c r="U36"/>
      <c r="V36"/>
      <c r="W36"/>
      <c r="X36"/>
      <c r="Y36"/>
      <c r="Z36"/>
    </row>
    <row r="37" spans="2:26" ht="18">
      <c r="B37" s="59" t="s">
        <v>61</v>
      </c>
      <c r="C37" s="10" t="s">
        <v>62</v>
      </c>
      <c r="D37" s="26"/>
      <c r="E37" s="11" t="s">
        <v>63</v>
      </c>
      <c r="F37" s="4" t="s">
        <v>64</v>
      </c>
      <c r="O37"/>
      <c r="P37"/>
      <c r="Q37"/>
      <c r="R37"/>
      <c r="S37"/>
      <c r="T37"/>
      <c r="U37"/>
      <c r="V37"/>
      <c r="W37"/>
      <c r="X37"/>
      <c r="Y37"/>
      <c r="Z37"/>
    </row>
    <row r="38" spans="2:26" ht="18">
      <c r="B38" s="60"/>
      <c r="C38" s="10" t="s">
        <v>65</v>
      </c>
      <c r="D38" s="26"/>
      <c r="E38" s="11" t="s">
        <v>63</v>
      </c>
      <c r="F38" s="4" t="s">
        <v>66</v>
      </c>
      <c r="O38"/>
      <c r="P38"/>
      <c r="Q38"/>
      <c r="R38"/>
      <c r="S38"/>
      <c r="T38"/>
      <c r="U38"/>
      <c r="V38"/>
      <c r="W38"/>
      <c r="X38"/>
      <c r="Y38"/>
      <c r="Z38"/>
    </row>
    <row r="39" spans="2:26" ht="18">
      <c r="B39" s="60"/>
      <c r="C39" s="10" t="s">
        <v>67</v>
      </c>
      <c r="D39" s="26"/>
      <c r="E39" s="11" t="s">
        <v>63</v>
      </c>
      <c r="F39" s="4" t="s">
        <v>68</v>
      </c>
      <c r="O39"/>
      <c r="P39"/>
      <c r="Q39"/>
      <c r="R39"/>
      <c r="S39"/>
      <c r="T39"/>
      <c r="U39"/>
      <c r="V39"/>
      <c r="W39"/>
      <c r="X39"/>
      <c r="Y39"/>
      <c r="Z39"/>
    </row>
    <row r="40" spans="2:26" ht="18">
      <c r="B40" s="61"/>
      <c r="C40" s="10" t="s">
        <v>69</v>
      </c>
      <c r="D40" s="26"/>
      <c r="E40" s="11" t="s">
        <v>63</v>
      </c>
      <c r="F40" s="4" t="s">
        <v>70</v>
      </c>
      <c r="O40"/>
      <c r="P40"/>
      <c r="Q40"/>
      <c r="R40"/>
      <c r="S40"/>
      <c r="T40"/>
      <c r="U40"/>
      <c r="V40"/>
      <c r="W40"/>
      <c r="X40"/>
      <c r="Y40"/>
      <c r="Z40"/>
    </row>
    <row r="41" spans="2:26" ht="18">
      <c r="C41" s="12" t="s">
        <v>71</v>
      </c>
      <c r="D41"/>
      <c r="E41"/>
      <c r="F41"/>
      <c r="O41"/>
      <c r="P41"/>
      <c r="Q41"/>
      <c r="R41"/>
      <c r="S41"/>
      <c r="T41"/>
      <c r="U41"/>
      <c r="V41"/>
      <c r="W41"/>
      <c r="X41"/>
      <c r="Y41"/>
      <c r="Z41"/>
    </row>
    <row r="42" spans="2:26" ht="18">
      <c r="O42"/>
      <c r="P42"/>
      <c r="Q42"/>
      <c r="R42"/>
      <c r="S42"/>
      <c r="T42"/>
      <c r="U42"/>
      <c r="V42"/>
      <c r="W42"/>
      <c r="X42"/>
      <c r="Y42"/>
      <c r="Z42"/>
    </row>
    <row r="43" spans="2:26" ht="18">
      <c r="G43" s="2" t="s">
        <v>0</v>
      </c>
      <c r="O43"/>
      <c r="P43"/>
      <c r="Q43"/>
      <c r="R43"/>
      <c r="S43"/>
      <c r="T43"/>
      <c r="U43"/>
      <c r="V43"/>
      <c r="W43"/>
      <c r="X43"/>
      <c r="Y43"/>
      <c r="Z43"/>
    </row>
    <row r="44" spans="2:26" ht="19.899999999999999">
      <c r="B44" s="54" t="s">
        <v>72</v>
      </c>
      <c r="C44" s="54"/>
      <c r="D44" s="54"/>
      <c r="E44" s="54"/>
      <c r="F44" s="54"/>
      <c r="O44"/>
      <c r="P44"/>
      <c r="Q44"/>
      <c r="R44"/>
      <c r="S44"/>
      <c r="T44"/>
      <c r="U44"/>
      <c r="V44"/>
      <c r="W44"/>
      <c r="X44"/>
      <c r="Y44"/>
      <c r="Z44"/>
    </row>
    <row r="45" spans="2:26" ht="18">
      <c r="O45"/>
      <c r="P45"/>
      <c r="Q45"/>
      <c r="R45"/>
      <c r="S45"/>
      <c r="T45"/>
      <c r="U45"/>
      <c r="V45"/>
      <c r="W45"/>
      <c r="X45"/>
      <c r="Y45"/>
      <c r="Z45"/>
    </row>
    <row r="46" spans="2:26" ht="18">
      <c r="B46" s="1" t="s">
        <v>2</v>
      </c>
      <c r="O46"/>
      <c r="P46"/>
      <c r="Q46"/>
      <c r="R46"/>
      <c r="S46"/>
      <c r="T46"/>
      <c r="U46"/>
      <c r="V46"/>
      <c r="W46"/>
      <c r="X46"/>
      <c r="Y46"/>
      <c r="Z46"/>
    </row>
    <row r="47" spans="2:26" ht="18">
      <c r="F47" s="3" t="str">
        <f>F5</f>
        <v>スパークス・グリーンエナジー＆テクノロジー株式会社</v>
      </c>
      <c r="O47"/>
      <c r="P47"/>
      <c r="Q47"/>
      <c r="R47"/>
      <c r="S47"/>
      <c r="T47"/>
      <c r="U47"/>
      <c r="V47"/>
      <c r="W47"/>
      <c r="X47"/>
      <c r="Y47"/>
      <c r="Z47"/>
    </row>
    <row r="48" spans="2:26" ht="18">
      <c r="O48"/>
      <c r="P48"/>
      <c r="Q48"/>
      <c r="R48"/>
      <c r="S48"/>
      <c r="T48"/>
      <c r="U48"/>
      <c r="V48"/>
      <c r="W48"/>
      <c r="X48"/>
      <c r="Y48"/>
      <c r="Z48"/>
    </row>
    <row r="49" spans="2:26" ht="18">
      <c r="B49" s="1" t="s">
        <v>4</v>
      </c>
      <c r="O49"/>
      <c r="P49"/>
      <c r="Q49"/>
      <c r="R49"/>
      <c r="S49"/>
      <c r="T49"/>
      <c r="U49"/>
      <c r="V49"/>
      <c r="W49"/>
      <c r="X49"/>
      <c r="Y49"/>
      <c r="Z49"/>
    </row>
    <row r="50" spans="2:26" ht="12" customHeight="1">
      <c r="O50"/>
      <c r="P50"/>
      <c r="Q50"/>
      <c r="R50"/>
      <c r="S50"/>
      <c r="T50"/>
      <c r="U50"/>
      <c r="V50"/>
      <c r="W50"/>
      <c r="X50"/>
      <c r="Y50"/>
      <c r="Z50"/>
    </row>
    <row r="51" spans="2:26" ht="18">
      <c r="B51" s="4" t="s">
        <v>5</v>
      </c>
      <c r="C51" s="19">
        <f>C9</f>
        <v>46017</v>
      </c>
      <c r="D51" s="4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2:26" ht="18">
      <c r="B52" s="4" t="s">
        <v>6</v>
      </c>
      <c r="C52" s="19">
        <f>C10</f>
        <v>46053</v>
      </c>
      <c r="D52" s="4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2:26" ht="18">
      <c r="P53"/>
      <c r="Q53"/>
      <c r="R53"/>
      <c r="S53"/>
      <c r="T53"/>
      <c r="U53"/>
      <c r="V53"/>
    </row>
    <row r="54" spans="2:26" ht="18">
      <c r="P54"/>
      <c r="Q54"/>
      <c r="R54"/>
      <c r="S54"/>
      <c r="T54"/>
      <c r="U54"/>
      <c r="V54"/>
    </row>
    <row r="55" spans="2:26" ht="18">
      <c r="B55" s="1" t="s">
        <v>7</v>
      </c>
      <c r="P55"/>
      <c r="Q55"/>
      <c r="R55"/>
      <c r="S55"/>
      <c r="T55"/>
      <c r="U55"/>
      <c r="V55"/>
    </row>
    <row r="56" spans="2:26" ht="18">
      <c r="B56" s="55" t="s">
        <v>8</v>
      </c>
      <c r="C56" s="55"/>
      <c r="D56" s="55"/>
      <c r="E56" s="55"/>
      <c r="F56" s="5" t="s">
        <v>9</v>
      </c>
      <c r="P56"/>
      <c r="Q56"/>
      <c r="R56"/>
      <c r="S56"/>
      <c r="T56"/>
      <c r="U56"/>
      <c r="V56"/>
    </row>
    <row r="57" spans="2:26" ht="18">
      <c r="B57" s="56" t="s">
        <v>10</v>
      </c>
      <c r="C57" s="6" t="s">
        <v>11</v>
      </c>
      <c r="D57" s="14" t="str">
        <f>D15</f>
        <v>SGET原町南メガソーラー発電所</v>
      </c>
      <c r="E57" s="7" t="s">
        <v>13</v>
      </c>
      <c r="F57" s="4"/>
      <c r="P57"/>
      <c r="Q57"/>
      <c r="R57"/>
      <c r="S57"/>
      <c r="T57"/>
      <c r="U57"/>
      <c r="V57"/>
    </row>
    <row r="58" spans="2:26" ht="18">
      <c r="B58" s="57"/>
      <c r="C58" s="6" t="s">
        <v>14</v>
      </c>
      <c r="D58" s="15" t="str">
        <f>D16</f>
        <v>福島県南相馬市原町区下江井字落合6-1他</v>
      </c>
      <c r="E58" s="7" t="s">
        <v>13</v>
      </c>
      <c r="F58" s="4"/>
      <c r="P58"/>
      <c r="Q58"/>
      <c r="R58"/>
      <c r="S58"/>
      <c r="T58"/>
      <c r="U58"/>
      <c r="V58"/>
    </row>
    <row r="59" spans="2:26" ht="18">
      <c r="B59" s="57"/>
      <c r="C59" s="6" t="s">
        <v>16</v>
      </c>
      <c r="D59" s="15">
        <f>D17</f>
        <v>37.35</v>
      </c>
      <c r="E59" s="8" t="s">
        <v>17</v>
      </c>
      <c r="F59" s="4" t="s">
        <v>18</v>
      </c>
      <c r="P59"/>
      <c r="Q59"/>
      <c r="R59"/>
      <c r="S59"/>
      <c r="T59"/>
      <c r="U59"/>
      <c r="V59"/>
    </row>
    <row r="60" spans="2:26" ht="18">
      <c r="B60" s="57"/>
      <c r="C60" s="6" t="s">
        <v>19</v>
      </c>
      <c r="D60" s="15">
        <f>D18</f>
        <v>141.0104</v>
      </c>
      <c r="E60" s="8" t="s">
        <v>17</v>
      </c>
      <c r="F60" s="4" t="s">
        <v>20</v>
      </c>
      <c r="P60"/>
      <c r="Q60"/>
      <c r="R60"/>
      <c r="S60"/>
      <c r="T60"/>
      <c r="U60"/>
      <c r="V60"/>
    </row>
    <row r="61" spans="2:26" ht="18">
      <c r="B61" s="58"/>
      <c r="C61" s="6" t="s">
        <v>24</v>
      </c>
      <c r="D61" s="16">
        <f>D20</f>
        <v>8283267</v>
      </c>
      <c r="E61" s="18" t="s">
        <v>25</v>
      </c>
      <c r="F61" s="4"/>
      <c r="P61"/>
      <c r="Q61"/>
      <c r="R61"/>
      <c r="S61"/>
      <c r="T61"/>
      <c r="U61"/>
      <c r="V61"/>
    </row>
    <row r="62" spans="2:26" ht="18">
      <c r="B62" s="59" t="s">
        <v>61</v>
      </c>
      <c r="C62" s="10" t="s">
        <v>62</v>
      </c>
      <c r="D62" s="17"/>
      <c r="E62" s="11" t="s">
        <v>63</v>
      </c>
      <c r="F62" s="4" t="s">
        <v>64</v>
      </c>
      <c r="P62"/>
      <c r="Q62"/>
      <c r="R62"/>
      <c r="S62"/>
      <c r="T62"/>
      <c r="U62"/>
      <c r="V62"/>
    </row>
    <row r="63" spans="2:26">
      <c r="B63" s="60"/>
      <c r="C63" s="10" t="s">
        <v>65</v>
      </c>
      <c r="D63" s="17"/>
      <c r="E63" s="11" t="s">
        <v>63</v>
      </c>
      <c r="F63" s="4" t="s">
        <v>66</v>
      </c>
    </row>
    <row r="64" spans="2:26">
      <c r="B64" s="60"/>
      <c r="C64" s="10" t="s">
        <v>67</v>
      </c>
      <c r="D64" s="17"/>
      <c r="E64" s="11" t="s">
        <v>63</v>
      </c>
      <c r="F64" s="4" t="s">
        <v>68</v>
      </c>
    </row>
    <row r="65" spans="2:9">
      <c r="B65" s="61"/>
      <c r="C65" s="10" t="s">
        <v>69</v>
      </c>
      <c r="D65" s="17"/>
      <c r="E65" s="11" t="s">
        <v>63</v>
      </c>
      <c r="F65" s="4" t="s">
        <v>70</v>
      </c>
    </row>
    <row r="66" spans="2:9" ht="18">
      <c r="C66" s="12"/>
      <c r="D66"/>
      <c r="E66"/>
      <c r="F66"/>
    </row>
    <row r="68" spans="2:9" ht="18">
      <c r="B68"/>
      <c r="C68"/>
      <c r="D68"/>
      <c r="E68"/>
      <c r="F68"/>
      <c r="H68"/>
      <c r="I68"/>
    </row>
    <row r="69" spans="2:9" ht="18">
      <c r="B69"/>
      <c r="C69"/>
      <c r="D69"/>
      <c r="E69"/>
      <c r="F69"/>
      <c r="H69"/>
      <c r="I69"/>
    </row>
    <row r="70" spans="2:9" ht="18">
      <c r="C70"/>
      <c r="D70"/>
      <c r="E70"/>
      <c r="F70"/>
      <c r="G70" s="13"/>
      <c r="H70"/>
      <c r="I70"/>
    </row>
    <row r="71" spans="2:9" ht="18">
      <c r="C71"/>
      <c r="D71"/>
      <c r="E71"/>
      <c r="F71"/>
      <c r="G71" s="13"/>
      <c r="H71"/>
      <c r="I71"/>
    </row>
    <row r="72" spans="2:9" ht="18">
      <c r="C72"/>
      <c r="D72"/>
      <c r="E72"/>
      <c r="F72"/>
      <c r="G72" s="13"/>
      <c r="H72"/>
      <c r="I72"/>
    </row>
    <row r="73" spans="2:9" ht="18">
      <c r="C73"/>
      <c r="D73"/>
      <c r="E73"/>
      <c r="F73"/>
      <c r="G73" s="13"/>
      <c r="H73"/>
      <c r="I73"/>
    </row>
    <row r="74" spans="2:9" ht="18">
      <c r="C74"/>
      <c r="D74"/>
      <c r="E74"/>
      <c r="F74"/>
      <c r="G74" s="13"/>
      <c r="H74"/>
      <c r="I74"/>
    </row>
    <row r="75" spans="2:9" ht="18">
      <c r="C75"/>
      <c r="D75"/>
      <c r="E75"/>
      <c r="F75"/>
      <c r="G75" s="13"/>
      <c r="H75"/>
      <c r="I75"/>
    </row>
    <row r="76" spans="2:9" ht="18">
      <c r="C76"/>
      <c r="D76"/>
      <c r="E76"/>
      <c r="F76"/>
    </row>
    <row r="77" spans="2:9" ht="18">
      <c r="C77"/>
      <c r="D77"/>
      <c r="E77"/>
      <c r="F77"/>
    </row>
    <row r="78" spans="2:9" ht="18">
      <c r="C78"/>
      <c r="D78"/>
      <c r="E78"/>
      <c r="F78"/>
    </row>
    <row r="79" spans="2:9" ht="18">
      <c r="C79"/>
      <c r="D79"/>
      <c r="E79"/>
      <c r="F79"/>
    </row>
    <row r="80" spans="2:9" ht="18">
      <c r="C80"/>
      <c r="D80"/>
      <c r="E80"/>
      <c r="F80"/>
    </row>
    <row r="81" spans="2:6" ht="18">
      <c r="C81"/>
      <c r="D81"/>
      <c r="E81"/>
      <c r="F81"/>
    </row>
    <row r="82" spans="2:6" ht="18">
      <c r="C82"/>
      <c r="D82"/>
      <c r="E82"/>
      <c r="F82"/>
    </row>
    <row r="83" spans="2:6" ht="18">
      <c r="C83"/>
      <c r="D83"/>
      <c r="E83"/>
      <c r="F83"/>
    </row>
    <row r="84" spans="2:6" ht="18">
      <c r="C84"/>
      <c r="D84"/>
      <c r="E84"/>
      <c r="F84"/>
    </row>
    <row r="85" spans="2:6" ht="18">
      <c r="C85"/>
      <c r="D85"/>
      <c r="E85"/>
      <c r="F85"/>
    </row>
    <row r="86" spans="2:6" ht="18">
      <c r="C86"/>
      <c r="D86"/>
      <c r="E86"/>
      <c r="F86"/>
    </row>
    <row r="87" spans="2:6" ht="18">
      <c r="C87"/>
      <c r="D87"/>
      <c r="E87"/>
      <c r="F87"/>
    </row>
    <row r="88" spans="2:6" ht="18">
      <c r="C88"/>
      <c r="D88"/>
      <c r="E88"/>
      <c r="F88"/>
    </row>
    <row r="89" spans="2:6" ht="18">
      <c r="C89"/>
      <c r="D89"/>
      <c r="E89"/>
      <c r="F89"/>
    </row>
    <row r="90" spans="2:6" ht="18">
      <c r="C90"/>
      <c r="D90"/>
      <c r="E90"/>
      <c r="F90"/>
    </row>
    <row r="91" spans="2:6" ht="18">
      <c r="C91"/>
      <c r="D91"/>
      <c r="E91"/>
      <c r="F91"/>
    </row>
    <row r="92" spans="2:6" ht="18">
      <c r="C92"/>
      <c r="D92"/>
      <c r="E92"/>
      <c r="F92"/>
    </row>
    <row r="93" spans="2:6" ht="18">
      <c r="C93"/>
      <c r="D93"/>
      <c r="E93"/>
      <c r="F93"/>
    </row>
    <row r="94" spans="2:6" ht="18">
      <c r="C94"/>
      <c r="D94"/>
      <c r="E94"/>
      <c r="F94"/>
    </row>
    <row r="95" spans="2:6" ht="18">
      <c r="C95"/>
      <c r="D95"/>
      <c r="E95"/>
      <c r="F95"/>
    </row>
    <row r="96" spans="2:6" ht="18">
      <c r="B96"/>
      <c r="C96"/>
      <c r="D96"/>
      <c r="E96"/>
      <c r="F96"/>
    </row>
    <row r="97" spans="2:6" ht="13.5" customHeight="1">
      <c r="B97"/>
      <c r="C97"/>
      <c r="D97"/>
      <c r="E97"/>
      <c r="F97"/>
    </row>
    <row r="98" spans="2:6" ht="18">
      <c r="B98"/>
      <c r="C98"/>
      <c r="D98"/>
      <c r="E98"/>
      <c r="F98"/>
    </row>
    <row r="99" spans="2:6" ht="18">
      <c r="B99"/>
      <c r="C99"/>
      <c r="D99"/>
      <c r="E99"/>
      <c r="F99"/>
    </row>
    <row r="100" spans="2:6" ht="18">
      <c r="B100"/>
      <c r="C100"/>
      <c r="D100"/>
      <c r="E100"/>
      <c r="F100"/>
    </row>
    <row r="101" spans="2:6" ht="18">
      <c r="B101"/>
      <c r="C101"/>
      <c r="D101"/>
      <c r="E101"/>
      <c r="F101"/>
    </row>
    <row r="102" spans="2:6" ht="18">
      <c r="B102"/>
      <c r="C102"/>
      <c r="D102"/>
      <c r="E102"/>
      <c r="F102"/>
    </row>
    <row r="103" spans="2:6" ht="18">
      <c r="B103"/>
      <c r="C103"/>
      <c r="D103"/>
      <c r="E103"/>
      <c r="F103"/>
    </row>
    <row r="104" spans="2:6" ht="18">
      <c r="B104"/>
      <c r="C104"/>
      <c r="D104"/>
      <c r="E104"/>
      <c r="F104"/>
    </row>
    <row r="105" spans="2:6" ht="18">
      <c r="B105"/>
      <c r="C105"/>
      <c r="D105"/>
      <c r="E105"/>
      <c r="F105"/>
    </row>
  </sheetData>
  <mergeCells count="11">
    <mergeCell ref="B37:B40"/>
    <mergeCell ref="B44:F44"/>
    <mergeCell ref="B56:E56"/>
    <mergeCell ref="B57:B61"/>
    <mergeCell ref="B62:B65"/>
    <mergeCell ref="B35:B36"/>
    <mergeCell ref="B2:F2"/>
    <mergeCell ref="B14:E14"/>
    <mergeCell ref="B15:B20"/>
    <mergeCell ref="B21:B25"/>
    <mergeCell ref="B26:B34"/>
  </mergeCells>
  <phoneticPr fontId="3"/>
  <dataValidations count="3">
    <dataValidation type="list" allowBlank="1" showInputMessage="1" showErrorMessage="1" sqref="D28" xr:uid="{BE78EBF6-43DF-4ABB-A75A-FB11D26A3AFD}">
      <formula1>"Ⅰ,Ⅱ,Ⅲ,Ⅳ"</formula1>
    </dataValidation>
    <dataValidation type="list" allowBlank="1" showInputMessage="1" showErrorMessage="1" sqref="D21" xr:uid="{DEF1DC7C-F878-4C24-9E50-F08B968C6834}">
      <formula1>"極めて重要,通常"</formula1>
    </dataValidation>
    <dataValidation type="list" allowBlank="1" showInputMessage="1" showErrorMessage="1" sqref="D26" xr:uid="{4BCC3670-607A-464A-813C-730F17532D0E}">
      <formula1>"JIS-C8955(2004年版),JIS-C8955(2017年版),NEDOガイドライン(2019年版)"</formula1>
    </dataValidation>
  </dataValidations>
  <pageMargins left="0.25" right="0.25" top="0.75" bottom="0.75" header="0.3" footer="0.3"/>
  <pageSetup paperSize="9" scale="59" orientation="portrait" r:id="rId1"/>
  <colBreaks count="1" manualBreakCount="1">
    <brk id="1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098F0-D400-4DD9-9D3B-00ECAA945DD5}">
  <dimension ref="A1:P22"/>
  <sheetViews>
    <sheetView topLeftCell="F6" workbookViewId="0">
      <selection activeCell="J19" sqref="J19"/>
    </sheetView>
  </sheetViews>
  <sheetFormatPr defaultRowHeight="18"/>
  <cols>
    <col min="2" max="2" width="11.25" customWidth="1"/>
    <col min="7" max="7" width="11.375" bestFit="1" customWidth="1"/>
    <col min="15" max="15" width="29.625" customWidth="1"/>
    <col min="16" max="16" width="55.75" customWidth="1"/>
  </cols>
  <sheetData>
    <row r="1" spans="1:16">
      <c r="A1" s="33" t="s">
        <v>100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6">
      <c r="A3" s="34" t="s">
        <v>101</v>
      </c>
      <c r="B3" s="34" t="s">
        <v>101</v>
      </c>
      <c r="C3" s="34" t="s">
        <v>101</v>
      </c>
      <c r="D3" s="34" t="s">
        <v>101</v>
      </c>
      <c r="E3" s="35" t="s">
        <v>102</v>
      </c>
      <c r="F3" s="36" t="s">
        <v>101</v>
      </c>
      <c r="G3" s="35" t="s">
        <v>103</v>
      </c>
      <c r="H3" s="37" t="s">
        <v>101</v>
      </c>
      <c r="I3" s="35" t="s">
        <v>104</v>
      </c>
      <c r="J3" s="36"/>
      <c r="K3" s="36" t="s">
        <v>101</v>
      </c>
      <c r="L3" s="36" t="s">
        <v>101</v>
      </c>
      <c r="M3" s="36" t="s">
        <v>101</v>
      </c>
      <c r="N3" s="37" t="s">
        <v>101</v>
      </c>
      <c r="O3" s="38" t="s">
        <v>105</v>
      </c>
      <c r="P3" s="38" t="s">
        <v>106</v>
      </c>
    </row>
    <row r="4" spans="1:16">
      <c r="A4" s="39" t="s">
        <v>101</v>
      </c>
      <c r="B4" s="39" t="s">
        <v>101</v>
      </c>
      <c r="C4" s="39" t="s">
        <v>101</v>
      </c>
      <c r="D4" s="40" t="s">
        <v>107</v>
      </c>
      <c r="E4" s="41" t="s">
        <v>108</v>
      </c>
      <c r="F4" s="41" t="s">
        <v>109</v>
      </c>
      <c r="G4" s="41" t="s">
        <v>110</v>
      </c>
      <c r="H4" s="41" t="s">
        <v>111</v>
      </c>
      <c r="I4" s="41" t="s">
        <v>112</v>
      </c>
      <c r="J4" s="41" t="s">
        <v>113</v>
      </c>
      <c r="K4" s="41" t="s">
        <v>114</v>
      </c>
      <c r="L4" s="41" t="s">
        <v>113</v>
      </c>
      <c r="M4" s="41" t="s">
        <v>115</v>
      </c>
      <c r="N4" s="41" t="s">
        <v>113</v>
      </c>
      <c r="O4" s="41"/>
      <c r="P4" s="41" t="s">
        <v>101</v>
      </c>
    </row>
    <row r="5" spans="1:16" ht="54">
      <c r="A5" s="42" t="s">
        <v>116</v>
      </c>
      <c r="B5" s="43" t="s">
        <v>117</v>
      </c>
      <c r="C5" s="46" t="s">
        <v>101</v>
      </c>
      <c r="D5" s="46">
        <v>25</v>
      </c>
      <c r="E5" s="46">
        <v>4</v>
      </c>
      <c r="F5" s="46">
        <v>2</v>
      </c>
      <c r="G5" s="46" t="s">
        <v>118</v>
      </c>
      <c r="H5" s="46" t="s">
        <v>119</v>
      </c>
      <c r="I5" s="46">
        <v>0.91</v>
      </c>
      <c r="J5" s="48" t="s">
        <v>120</v>
      </c>
      <c r="K5" s="46" t="s">
        <v>101</v>
      </c>
      <c r="L5" s="46" t="s">
        <v>101</v>
      </c>
      <c r="M5" s="46" t="s">
        <v>101</v>
      </c>
      <c r="N5" s="46" t="s">
        <v>101</v>
      </c>
      <c r="O5" s="48" t="s">
        <v>121</v>
      </c>
      <c r="P5" s="48" t="s">
        <v>122</v>
      </c>
    </row>
    <row r="6" spans="1:16">
      <c r="A6" s="39" t="s">
        <v>101</v>
      </c>
      <c r="B6" s="40" t="s">
        <v>101</v>
      </c>
      <c r="C6" s="41" t="s">
        <v>101</v>
      </c>
      <c r="D6" s="41">
        <v>25</v>
      </c>
      <c r="E6" s="41">
        <v>4</v>
      </c>
      <c r="F6" s="41">
        <v>3</v>
      </c>
      <c r="G6" s="41" t="s">
        <v>118</v>
      </c>
      <c r="H6" s="41" t="s">
        <v>119</v>
      </c>
      <c r="I6" s="41" t="s">
        <v>101</v>
      </c>
      <c r="J6" s="41" t="s">
        <v>101</v>
      </c>
      <c r="K6" s="41" t="s">
        <v>101</v>
      </c>
      <c r="L6" s="41" t="s">
        <v>101</v>
      </c>
      <c r="M6" s="41" t="s">
        <v>101</v>
      </c>
      <c r="N6" s="41" t="s">
        <v>101</v>
      </c>
      <c r="O6" s="41"/>
      <c r="P6" s="41" t="s">
        <v>101</v>
      </c>
    </row>
    <row r="7" spans="1:16">
      <c r="A7" s="42" t="s">
        <v>123</v>
      </c>
      <c r="B7" s="43" t="s">
        <v>117</v>
      </c>
      <c r="C7" s="41" t="s">
        <v>101</v>
      </c>
      <c r="D7" s="41">
        <v>25</v>
      </c>
      <c r="E7" s="41">
        <v>4</v>
      </c>
      <c r="F7" s="41">
        <v>2</v>
      </c>
      <c r="G7" s="41" t="s">
        <v>119</v>
      </c>
      <c r="H7" s="41" t="s">
        <v>119</v>
      </c>
      <c r="I7" s="41">
        <v>0.76</v>
      </c>
      <c r="J7" s="41" t="s">
        <v>124</v>
      </c>
      <c r="K7" s="41">
        <v>0.32</v>
      </c>
      <c r="L7" s="41" t="s">
        <v>125</v>
      </c>
      <c r="M7" s="41">
        <v>0.71</v>
      </c>
      <c r="N7" s="41" t="s">
        <v>126</v>
      </c>
      <c r="O7" s="44"/>
      <c r="P7" s="50"/>
    </row>
    <row r="8" spans="1:16">
      <c r="A8" s="42" t="s">
        <v>101</v>
      </c>
      <c r="B8" s="43" t="s">
        <v>101</v>
      </c>
      <c r="C8" s="41" t="s">
        <v>101</v>
      </c>
      <c r="D8" s="41">
        <v>25</v>
      </c>
      <c r="E8" s="41">
        <v>4</v>
      </c>
      <c r="F8" s="41">
        <v>3</v>
      </c>
      <c r="G8" s="41" t="s">
        <v>119</v>
      </c>
      <c r="H8" s="41" t="s">
        <v>119</v>
      </c>
      <c r="I8" s="41" t="s">
        <v>101</v>
      </c>
      <c r="J8" s="41" t="s">
        <v>101</v>
      </c>
      <c r="K8" s="41" t="s">
        <v>101</v>
      </c>
      <c r="L8" s="41" t="s">
        <v>101</v>
      </c>
      <c r="M8" s="41" t="s">
        <v>101</v>
      </c>
      <c r="N8" s="41" t="s">
        <v>101</v>
      </c>
      <c r="O8" s="43"/>
      <c r="P8" s="49" t="s">
        <v>101</v>
      </c>
    </row>
    <row r="9" spans="1:16">
      <c r="A9" s="42" t="s">
        <v>101</v>
      </c>
      <c r="B9" s="43" t="s">
        <v>101</v>
      </c>
      <c r="C9" s="41" t="s">
        <v>127</v>
      </c>
      <c r="D9" s="41">
        <v>25</v>
      </c>
      <c r="E9" s="41">
        <v>4</v>
      </c>
      <c r="F9" s="41">
        <v>2</v>
      </c>
      <c r="G9" s="41" t="s">
        <v>128</v>
      </c>
      <c r="H9" s="41" t="s">
        <v>119</v>
      </c>
      <c r="I9" s="41" t="s">
        <v>101</v>
      </c>
      <c r="J9" s="41" t="s">
        <v>101</v>
      </c>
      <c r="K9" s="41" t="s">
        <v>101</v>
      </c>
      <c r="L9" s="41" t="s">
        <v>101</v>
      </c>
      <c r="M9" s="41" t="s">
        <v>101</v>
      </c>
      <c r="N9" s="41" t="s">
        <v>101</v>
      </c>
      <c r="O9" s="43"/>
      <c r="P9" s="49" t="s">
        <v>101</v>
      </c>
    </row>
    <row r="10" spans="1:16">
      <c r="A10" s="42" t="s">
        <v>101</v>
      </c>
      <c r="B10" s="43" t="s">
        <v>101</v>
      </c>
      <c r="C10" s="41" t="s">
        <v>127</v>
      </c>
      <c r="D10" s="41">
        <v>25</v>
      </c>
      <c r="E10" s="41">
        <v>4</v>
      </c>
      <c r="F10" s="41">
        <v>3</v>
      </c>
      <c r="G10" s="41" t="s">
        <v>128</v>
      </c>
      <c r="H10" s="41" t="s">
        <v>119</v>
      </c>
      <c r="I10" s="41" t="s">
        <v>101</v>
      </c>
      <c r="J10" s="41" t="s">
        <v>101</v>
      </c>
      <c r="K10" s="41" t="s">
        <v>101</v>
      </c>
      <c r="L10" s="41" t="s">
        <v>101</v>
      </c>
      <c r="M10" s="41" t="s">
        <v>101</v>
      </c>
      <c r="N10" s="41" t="s">
        <v>101</v>
      </c>
      <c r="O10" s="43"/>
      <c r="P10" s="49" t="s">
        <v>101</v>
      </c>
    </row>
    <row r="11" spans="1:16">
      <c r="A11" s="42" t="s">
        <v>101</v>
      </c>
      <c r="B11" s="43" t="s">
        <v>101</v>
      </c>
      <c r="C11" s="41" t="s">
        <v>129</v>
      </c>
      <c r="D11" s="41">
        <v>25</v>
      </c>
      <c r="E11" s="41">
        <v>4</v>
      </c>
      <c r="F11" s="41">
        <v>2</v>
      </c>
      <c r="G11" s="41" t="s">
        <v>119</v>
      </c>
      <c r="H11" s="45" t="s">
        <v>130</v>
      </c>
      <c r="I11" s="41" t="s">
        <v>101</v>
      </c>
      <c r="J11" s="41" t="s">
        <v>101</v>
      </c>
      <c r="K11" s="41" t="s">
        <v>101</v>
      </c>
      <c r="L11" s="41" t="s">
        <v>101</v>
      </c>
      <c r="M11" s="41" t="s">
        <v>101</v>
      </c>
      <c r="N11" s="41" t="s">
        <v>101</v>
      </c>
      <c r="O11" s="43"/>
      <c r="P11" s="49" t="s">
        <v>101</v>
      </c>
    </row>
    <row r="12" spans="1:16" ht="54">
      <c r="A12" s="42" t="s">
        <v>101</v>
      </c>
      <c r="B12" s="43" t="s">
        <v>101</v>
      </c>
      <c r="C12" s="46" t="s">
        <v>129</v>
      </c>
      <c r="D12" s="46">
        <v>25</v>
      </c>
      <c r="E12" s="46">
        <v>4</v>
      </c>
      <c r="F12" s="46">
        <v>3</v>
      </c>
      <c r="G12" s="46" t="s">
        <v>119</v>
      </c>
      <c r="H12" s="47" t="s">
        <v>130</v>
      </c>
      <c r="I12" s="46" t="s">
        <v>101</v>
      </c>
      <c r="J12" s="46" t="s">
        <v>101</v>
      </c>
      <c r="K12" s="46" t="s">
        <v>101</v>
      </c>
      <c r="L12" s="46" t="s">
        <v>101</v>
      </c>
      <c r="M12" s="46" t="s">
        <v>101</v>
      </c>
      <c r="N12" s="46" t="s">
        <v>101</v>
      </c>
      <c r="O12" s="51" t="s">
        <v>131</v>
      </c>
      <c r="P12" s="48" t="s">
        <v>132</v>
      </c>
    </row>
    <row r="13" spans="1:16">
      <c r="A13" s="42" t="s">
        <v>101</v>
      </c>
      <c r="B13" s="44" t="s">
        <v>133</v>
      </c>
      <c r="C13" s="41" t="s">
        <v>101</v>
      </c>
      <c r="D13" s="41">
        <v>30</v>
      </c>
      <c r="E13" s="41">
        <v>4</v>
      </c>
      <c r="F13" s="41">
        <v>2</v>
      </c>
      <c r="G13" s="41" t="s">
        <v>119</v>
      </c>
      <c r="H13" s="41" t="s">
        <v>119</v>
      </c>
      <c r="I13" s="41" t="s">
        <v>134</v>
      </c>
      <c r="J13" s="41" t="s">
        <v>134</v>
      </c>
      <c r="K13" s="41" t="s">
        <v>134</v>
      </c>
      <c r="L13" s="41" t="s">
        <v>134</v>
      </c>
      <c r="M13" s="41" t="s">
        <v>134</v>
      </c>
      <c r="N13" s="41" t="s">
        <v>134</v>
      </c>
      <c r="O13" s="44" t="s">
        <v>135</v>
      </c>
      <c r="P13" s="38" t="s">
        <v>101</v>
      </c>
    </row>
    <row r="14" spans="1:16">
      <c r="A14" s="42" t="s">
        <v>101</v>
      </c>
      <c r="B14" s="43" t="s">
        <v>101</v>
      </c>
      <c r="C14" s="41" t="s">
        <v>101</v>
      </c>
      <c r="D14" s="41">
        <v>30</v>
      </c>
      <c r="E14" s="41">
        <v>4</v>
      </c>
      <c r="F14" s="41">
        <v>3</v>
      </c>
      <c r="G14" s="41" t="s">
        <v>119</v>
      </c>
      <c r="H14" s="41" t="s">
        <v>119</v>
      </c>
      <c r="I14" s="41" t="s">
        <v>101</v>
      </c>
      <c r="J14" s="41" t="s">
        <v>101</v>
      </c>
      <c r="K14" s="41" t="s">
        <v>101</v>
      </c>
      <c r="L14" s="41" t="s">
        <v>101</v>
      </c>
      <c r="M14" s="41" t="s">
        <v>101</v>
      </c>
      <c r="N14" s="41" t="s">
        <v>101</v>
      </c>
      <c r="O14" s="43"/>
      <c r="P14" s="49" t="s">
        <v>101</v>
      </c>
    </row>
    <row r="15" spans="1:16">
      <c r="A15" s="42" t="s">
        <v>101</v>
      </c>
      <c r="B15" s="43" t="s">
        <v>101</v>
      </c>
      <c r="C15" s="41" t="s">
        <v>127</v>
      </c>
      <c r="D15" s="41">
        <v>30</v>
      </c>
      <c r="E15" s="41">
        <v>4</v>
      </c>
      <c r="F15" s="41">
        <v>2</v>
      </c>
      <c r="G15" s="41" t="s">
        <v>128</v>
      </c>
      <c r="H15" s="41" t="s">
        <v>119</v>
      </c>
      <c r="I15" s="41" t="s">
        <v>101</v>
      </c>
      <c r="J15" s="41" t="s">
        <v>101</v>
      </c>
      <c r="K15" s="41" t="s">
        <v>101</v>
      </c>
      <c r="L15" s="41" t="s">
        <v>101</v>
      </c>
      <c r="M15" s="41" t="s">
        <v>101</v>
      </c>
      <c r="N15" s="41" t="s">
        <v>101</v>
      </c>
      <c r="O15" s="43"/>
      <c r="P15" s="49" t="s">
        <v>101</v>
      </c>
    </row>
    <row r="16" spans="1:16">
      <c r="A16" s="42" t="s">
        <v>101</v>
      </c>
      <c r="B16" s="43" t="s">
        <v>101</v>
      </c>
      <c r="C16" s="41" t="s">
        <v>127</v>
      </c>
      <c r="D16" s="41">
        <v>30</v>
      </c>
      <c r="E16" s="41">
        <v>4</v>
      </c>
      <c r="F16" s="41">
        <v>3</v>
      </c>
      <c r="G16" s="41" t="s">
        <v>128</v>
      </c>
      <c r="H16" s="41" t="s">
        <v>119</v>
      </c>
      <c r="I16" s="41" t="s">
        <v>101</v>
      </c>
      <c r="J16" s="41" t="s">
        <v>101</v>
      </c>
      <c r="K16" s="41" t="s">
        <v>101</v>
      </c>
      <c r="L16" s="41" t="s">
        <v>101</v>
      </c>
      <c r="M16" s="41" t="s">
        <v>101</v>
      </c>
      <c r="N16" s="41" t="s">
        <v>101</v>
      </c>
      <c r="O16" s="43"/>
      <c r="P16" s="49" t="s">
        <v>101</v>
      </c>
    </row>
    <row r="17" spans="1:16">
      <c r="A17" s="42" t="s">
        <v>101</v>
      </c>
      <c r="B17" s="43" t="s">
        <v>101</v>
      </c>
      <c r="C17" s="41" t="s">
        <v>136</v>
      </c>
      <c r="D17" s="41">
        <v>30</v>
      </c>
      <c r="E17" s="41">
        <v>4</v>
      </c>
      <c r="F17" s="41">
        <v>2</v>
      </c>
      <c r="G17" s="41" t="s">
        <v>119</v>
      </c>
      <c r="H17" s="41" t="s">
        <v>128</v>
      </c>
      <c r="I17" s="41" t="s">
        <v>101</v>
      </c>
      <c r="J17" s="41" t="s">
        <v>101</v>
      </c>
      <c r="K17" s="41" t="s">
        <v>101</v>
      </c>
      <c r="L17" s="41" t="s">
        <v>101</v>
      </c>
      <c r="M17" s="41" t="s">
        <v>101</v>
      </c>
      <c r="N17" s="41" t="s">
        <v>101</v>
      </c>
      <c r="O17" s="43"/>
      <c r="P17" s="49" t="s">
        <v>101</v>
      </c>
    </row>
    <row r="18" spans="1:16">
      <c r="A18" s="42" t="s">
        <v>101</v>
      </c>
      <c r="B18" s="43" t="s">
        <v>101</v>
      </c>
      <c r="C18" s="41" t="s">
        <v>136</v>
      </c>
      <c r="D18" s="41">
        <v>30</v>
      </c>
      <c r="E18" s="41">
        <v>4</v>
      </c>
      <c r="F18" s="41">
        <v>3</v>
      </c>
      <c r="G18" s="41" t="s">
        <v>119</v>
      </c>
      <c r="H18" s="41" t="s">
        <v>128</v>
      </c>
      <c r="I18" s="41" t="s">
        <v>101</v>
      </c>
      <c r="J18" s="41" t="s">
        <v>101</v>
      </c>
      <c r="K18" s="41" t="s">
        <v>101</v>
      </c>
      <c r="L18" s="41" t="s">
        <v>101</v>
      </c>
      <c r="M18" s="41" t="s">
        <v>101</v>
      </c>
      <c r="N18" s="41" t="s">
        <v>101</v>
      </c>
      <c r="O18" s="40"/>
      <c r="P18" s="41" t="s">
        <v>101</v>
      </c>
    </row>
    <row r="19" spans="1:16">
      <c r="A19" s="42" t="s">
        <v>101</v>
      </c>
      <c r="B19" s="44" t="s">
        <v>137</v>
      </c>
      <c r="C19" s="41" t="s">
        <v>101</v>
      </c>
      <c r="D19" s="41">
        <v>25</v>
      </c>
      <c r="E19" s="41">
        <v>4</v>
      </c>
      <c r="F19" s="41">
        <v>2</v>
      </c>
      <c r="G19" s="41" t="s">
        <v>119</v>
      </c>
      <c r="H19" s="41" t="s">
        <v>119</v>
      </c>
      <c r="I19" s="41">
        <v>0.93</v>
      </c>
      <c r="J19" s="41" t="s">
        <v>138</v>
      </c>
      <c r="K19" s="41">
        <v>0.43</v>
      </c>
      <c r="L19" s="41" t="s">
        <v>126</v>
      </c>
      <c r="M19" s="41">
        <v>0.87</v>
      </c>
      <c r="N19" s="41" t="s">
        <v>139</v>
      </c>
      <c r="O19" s="44"/>
      <c r="P19" s="38" t="s">
        <v>101</v>
      </c>
    </row>
    <row r="20" spans="1:16">
      <c r="A20" s="42" t="s">
        <v>101</v>
      </c>
      <c r="B20" s="43" t="s">
        <v>101</v>
      </c>
      <c r="C20" s="41" t="s">
        <v>101</v>
      </c>
      <c r="D20" s="41">
        <v>25</v>
      </c>
      <c r="E20" s="41">
        <v>4</v>
      </c>
      <c r="F20" s="41">
        <v>3</v>
      </c>
      <c r="G20" s="41" t="s">
        <v>119</v>
      </c>
      <c r="H20" s="41" t="s">
        <v>119</v>
      </c>
      <c r="I20" s="41" t="s">
        <v>101</v>
      </c>
      <c r="J20" s="41" t="s">
        <v>101</v>
      </c>
      <c r="K20" s="41" t="s">
        <v>101</v>
      </c>
      <c r="L20" s="41" t="s">
        <v>101</v>
      </c>
      <c r="M20" s="41" t="s">
        <v>101</v>
      </c>
      <c r="N20" s="41" t="s">
        <v>101</v>
      </c>
      <c r="O20" s="43"/>
      <c r="P20" s="49" t="s">
        <v>101</v>
      </c>
    </row>
    <row r="21" spans="1:16">
      <c r="A21" s="42" t="s">
        <v>101</v>
      </c>
      <c r="B21" s="43" t="s">
        <v>101</v>
      </c>
      <c r="C21" s="41" t="s">
        <v>140</v>
      </c>
      <c r="D21" s="41">
        <v>25</v>
      </c>
      <c r="E21" s="41">
        <v>4</v>
      </c>
      <c r="F21" s="41">
        <v>2</v>
      </c>
      <c r="G21" s="41" t="s">
        <v>119</v>
      </c>
      <c r="H21" s="41" t="s">
        <v>141</v>
      </c>
      <c r="I21" s="41" t="s">
        <v>101</v>
      </c>
      <c r="J21" s="41" t="s">
        <v>101</v>
      </c>
      <c r="K21" s="41" t="s">
        <v>101</v>
      </c>
      <c r="L21" s="41" t="s">
        <v>101</v>
      </c>
      <c r="M21" s="41" t="s">
        <v>101</v>
      </c>
      <c r="N21" s="41" t="s">
        <v>101</v>
      </c>
      <c r="O21" s="43"/>
      <c r="P21" s="49" t="s">
        <v>101</v>
      </c>
    </row>
    <row r="22" spans="1:16" ht="54">
      <c r="A22" s="39" t="s">
        <v>101</v>
      </c>
      <c r="B22" s="40" t="s">
        <v>101</v>
      </c>
      <c r="C22" s="46" t="s">
        <v>140</v>
      </c>
      <c r="D22" s="46">
        <v>25</v>
      </c>
      <c r="E22" s="46">
        <v>4</v>
      </c>
      <c r="F22" s="46">
        <v>3</v>
      </c>
      <c r="G22" s="46" t="s">
        <v>119</v>
      </c>
      <c r="H22" s="46" t="s">
        <v>141</v>
      </c>
      <c r="I22" s="46" t="s">
        <v>101</v>
      </c>
      <c r="J22" s="46" t="s">
        <v>101</v>
      </c>
      <c r="K22" s="46" t="s">
        <v>101</v>
      </c>
      <c r="L22" s="46" t="s">
        <v>101</v>
      </c>
      <c r="M22" s="46" t="s">
        <v>101</v>
      </c>
      <c r="N22" s="46" t="s">
        <v>101</v>
      </c>
      <c r="O22" s="51" t="s">
        <v>142</v>
      </c>
      <c r="P22" s="48" t="s">
        <v>143</v>
      </c>
    </row>
  </sheetData>
  <phoneticPr fontId="3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E3EDA-5CFC-4D5F-BA53-4028B83B1A78}">
  <sheetPr>
    <tabColor rgb="FF00B050"/>
    <pageSetUpPr fitToPage="1"/>
  </sheetPr>
  <dimension ref="B1:Z105"/>
  <sheetViews>
    <sheetView showOutlineSymbols="0" view="pageBreakPreview" topLeftCell="A18" zoomScale="80" zoomScaleNormal="100" zoomScaleSheetLayoutView="80" workbookViewId="0">
      <selection activeCell="D25" sqref="D25"/>
    </sheetView>
  </sheetViews>
  <sheetFormatPr defaultColWidth="9" defaultRowHeight="16.149999999999999"/>
  <cols>
    <col min="1" max="1" width="7.125" style="1" customWidth="1"/>
    <col min="2" max="2" width="10.75" style="1" customWidth="1"/>
    <col min="3" max="3" width="24.25" style="1" customWidth="1"/>
    <col min="4" max="4" width="25.875" style="1" bestFit="1" customWidth="1"/>
    <col min="5" max="5" width="6.375" style="1" customWidth="1"/>
    <col min="6" max="6" width="61.75" style="1" customWidth="1"/>
    <col min="7" max="7" width="8.25" style="1" customWidth="1"/>
    <col min="8" max="15" width="10.75" style="1" customWidth="1"/>
    <col min="16" max="17" width="9" style="1"/>
    <col min="18" max="18" width="10.75" style="1" bestFit="1" customWidth="1"/>
    <col min="19" max="20" width="10.5" style="1" customWidth="1"/>
    <col min="21" max="16384" width="9" style="1"/>
  </cols>
  <sheetData>
    <row r="1" spans="2:26">
      <c r="G1" s="2" t="s">
        <v>0</v>
      </c>
    </row>
    <row r="2" spans="2:26" ht="19.899999999999999">
      <c r="B2" s="54" t="s">
        <v>1</v>
      </c>
      <c r="C2" s="54"/>
      <c r="D2" s="54"/>
      <c r="E2" s="54"/>
      <c r="F2" s="54"/>
    </row>
    <row r="4" spans="2:26">
      <c r="B4" s="1" t="s">
        <v>2</v>
      </c>
    </row>
    <row r="5" spans="2:26">
      <c r="F5" s="3" t="s">
        <v>3</v>
      </c>
    </row>
    <row r="7" spans="2:26">
      <c r="B7" s="1" t="s">
        <v>4</v>
      </c>
    </row>
    <row r="9" spans="2:26">
      <c r="B9" s="4" t="s">
        <v>5</v>
      </c>
      <c r="C9" s="19">
        <v>46028</v>
      </c>
      <c r="D9" s="4"/>
    </row>
    <row r="10" spans="2:26">
      <c r="B10" s="4" t="s">
        <v>6</v>
      </c>
      <c r="C10" s="19">
        <v>46053</v>
      </c>
      <c r="D10" s="4"/>
    </row>
    <row r="13" spans="2:26" ht="18">
      <c r="B13" s="1" t="s">
        <v>7</v>
      </c>
      <c r="O13"/>
      <c r="P13"/>
      <c r="Q13"/>
      <c r="R13"/>
      <c r="S13"/>
      <c r="T13"/>
      <c r="U13"/>
      <c r="V13"/>
      <c r="W13"/>
      <c r="X13"/>
      <c r="Y13"/>
      <c r="Z13"/>
    </row>
    <row r="14" spans="2:26" ht="18">
      <c r="B14" s="55" t="s">
        <v>8</v>
      </c>
      <c r="C14" s="55"/>
      <c r="D14" s="55"/>
      <c r="E14" s="55"/>
      <c r="F14" s="5" t="s">
        <v>9</v>
      </c>
      <c r="O14"/>
      <c r="P14"/>
      <c r="Q14"/>
      <c r="R14"/>
      <c r="S14"/>
      <c r="T14"/>
      <c r="U14"/>
      <c r="V14"/>
      <c r="W14"/>
      <c r="X14"/>
      <c r="Y14"/>
      <c r="Z14"/>
    </row>
    <row r="15" spans="2:26" ht="18">
      <c r="B15" s="56" t="s">
        <v>10</v>
      </c>
      <c r="C15" s="6" t="s">
        <v>11</v>
      </c>
      <c r="D15" s="14" t="s">
        <v>144</v>
      </c>
      <c r="E15" s="7" t="s">
        <v>13</v>
      </c>
      <c r="F15" s="4"/>
      <c r="O15"/>
      <c r="P15"/>
      <c r="Q15"/>
      <c r="R15"/>
      <c r="S15"/>
      <c r="T15"/>
      <c r="U15"/>
      <c r="V15"/>
      <c r="W15"/>
      <c r="X15"/>
      <c r="Y15"/>
      <c r="Z15"/>
    </row>
    <row r="16" spans="2:26" ht="18">
      <c r="B16" s="57"/>
      <c r="C16" s="6" t="s">
        <v>14</v>
      </c>
      <c r="D16" s="15" t="s">
        <v>145</v>
      </c>
      <c r="E16" s="7" t="s">
        <v>13</v>
      </c>
      <c r="F16" s="4"/>
      <c r="O16"/>
      <c r="P16"/>
      <c r="Q16"/>
      <c r="R16"/>
      <c r="S16"/>
      <c r="T16"/>
      <c r="U16"/>
      <c r="V16"/>
      <c r="W16"/>
      <c r="X16"/>
      <c r="Y16"/>
      <c r="Z16"/>
    </row>
    <row r="17" spans="2:26" ht="18">
      <c r="B17" s="57"/>
      <c r="C17" s="6" t="s">
        <v>16</v>
      </c>
      <c r="D17" s="15">
        <v>36.465000000000003</v>
      </c>
      <c r="E17" s="8" t="s">
        <v>17</v>
      </c>
      <c r="F17" s="4" t="s">
        <v>18</v>
      </c>
      <c r="O17"/>
      <c r="P17"/>
      <c r="Q17"/>
      <c r="R17"/>
      <c r="S17"/>
      <c r="T17"/>
      <c r="U17"/>
      <c r="V17"/>
      <c r="W17"/>
      <c r="X17"/>
      <c r="Y17"/>
      <c r="Z17"/>
    </row>
    <row r="18" spans="2:26" ht="18">
      <c r="B18" s="57"/>
      <c r="C18" s="6" t="s">
        <v>19</v>
      </c>
      <c r="D18" s="15">
        <v>139.15270000000001</v>
      </c>
      <c r="E18" s="8" t="s">
        <v>17</v>
      </c>
      <c r="F18" s="4" t="s">
        <v>20</v>
      </c>
      <c r="O18"/>
      <c r="P18"/>
      <c r="Q18"/>
      <c r="R18"/>
      <c r="S18"/>
      <c r="T18"/>
      <c r="U18"/>
      <c r="V18"/>
      <c r="W18"/>
      <c r="X18"/>
      <c r="Y18"/>
      <c r="Z18"/>
    </row>
    <row r="19" spans="2:26" ht="18">
      <c r="B19" s="57"/>
      <c r="C19" s="6" t="s">
        <v>21</v>
      </c>
      <c r="D19" s="27">
        <v>44256</v>
      </c>
      <c r="E19" s="7" t="s">
        <v>22</v>
      </c>
      <c r="F19" s="4" t="s">
        <v>23</v>
      </c>
      <c r="O19"/>
      <c r="P19"/>
      <c r="Q19"/>
      <c r="R19"/>
      <c r="S19"/>
      <c r="T19"/>
      <c r="U19"/>
      <c r="V19"/>
      <c r="W19"/>
      <c r="X19"/>
      <c r="Y19"/>
      <c r="Z19"/>
    </row>
    <row r="20" spans="2:26" ht="18">
      <c r="B20" s="58"/>
      <c r="C20" s="6" t="s">
        <v>24</v>
      </c>
      <c r="D20" s="20">
        <v>11495000</v>
      </c>
      <c r="E20" s="18" t="s">
        <v>25</v>
      </c>
      <c r="F20" s="4"/>
      <c r="O20"/>
      <c r="P20"/>
      <c r="Q20"/>
      <c r="R20"/>
      <c r="S20"/>
      <c r="T20"/>
      <c r="U20"/>
      <c r="V20"/>
      <c r="W20"/>
      <c r="X20"/>
      <c r="Y20"/>
      <c r="Z20"/>
    </row>
    <row r="21" spans="2:26" ht="18">
      <c r="B21" s="56" t="s">
        <v>26</v>
      </c>
      <c r="C21" s="6" t="s">
        <v>27</v>
      </c>
      <c r="D21" s="21" t="s">
        <v>28</v>
      </c>
      <c r="E21" s="7" t="s">
        <v>13</v>
      </c>
      <c r="F21" s="4" t="s">
        <v>29</v>
      </c>
      <c r="O21"/>
      <c r="P21"/>
      <c r="Q21"/>
      <c r="R21"/>
      <c r="S21"/>
      <c r="T21"/>
      <c r="U21"/>
      <c r="V21"/>
      <c r="W21"/>
      <c r="X21"/>
      <c r="Y21"/>
      <c r="Z21"/>
    </row>
    <row r="22" spans="2:26" ht="18">
      <c r="B22" s="57"/>
      <c r="C22" s="9" t="s">
        <v>30</v>
      </c>
      <c r="D22" s="21">
        <v>25</v>
      </c>
      <c r="E22" s="8" t="s">
        <v>31</v>
      </c>
      <c r="F22" s="4" t="s">
        <v>32</v>
      </c>
      <c r="O22"/>
      <c r="P22"/>
      <c r="Q22"/>
      <c r="R22"/>
      <c r="S22"/>
      <c r="T22"/>
      <c r="U22"/>
      <c r="V22"/>
      <c r="W22"/>
      <c r="X22"/>
      <c r="Y22"/>
      <c r="Z22"/>
    </row>
    <row r="23" spans="2:26" ht="18">
      <c r="B23" s="57"/>
      <c r="C23" s="9" t="s">
        <v>33</v>
      </c>
      <c r="D23" s="22">
        <f>(2.733-1.012)/2+1.012</f>
        <v>1.8725000000000001</v>
      </c>
      <c r="E23" s="8" t="s">
        <v>34</v>
      </c>
      <c r="F23" s="4" t="s">
        <v>32</v>
      </c>
      <c r="O23"/>
      <c r="P23"/>
      <c r="Q23"/>
      <c r="R23"/>
      <c r="S23"/>
      <c r="T23"/>
      <c r="U23"/>
      <c r="V23"/>
      <c r="W23"/>
      <c r="X23"/>
      <c r="Y23"/>
      <c r="Z23"/>
    </row>
    <row r="24" spans="2:26" ht="18">
      <c r="B24" s="57"/>
      <c r="C24" s="9" t="s">
        <v>35</v>
      </c>
      <c r="D24" s="22">
        <v>1.012</v>
      </c>
      <c r="E24" s="8" t="s">
        <v>34</v>
      </c>
      <c r="F24" s="4" t="s">
        <v>32</v>
      </c>
      <c r="O24"/>
      <c r="P24"/>
      <c r="Q24"/>
      <c r="R24"/>
      <c r="S24"/>
      <c r="T24"/>
      <c r="U24"/>
      <c r="V24"/>
      <c r="W24"/>
      <c r="X24"/>
      <c r="Y24"/>
      <c r="Z24"/>
    </row>
    <row r="25" spans="2:26" ht="18">
      <c r="B25" s="58"/>
      <c r="C25" s="9" t="s">
        <v>36</v>
      </c>
      <c r="D25" s="63">
        <v>3.6230000000000002</v>
      </c>
      <c r="E25" s="8" t="s">
        <v>37</v>
      </c>
      <c r="F25" s="4" t="s">
        <v>32</v>
      </c>
      <c r="O25"/>
      <c r="P25"/>
      <c r="Q25"/>
      <c r="R25"/>
      <c r="S25"/>
      <c r="T25"/>
      <c r="U25"/>
      <c r="V25"/>
      <c r="W25"/>
      <c r="X25"/>
      <c r="Y25"/>
      <c r="Z25"/>
    </row>
    <row r="26" spans="2:26" ht="18">
      <c r="B26" s="56" t="s">
        <v>38</v>
      </c>
      <c r="C26" s="9" t="s">
        <v>39</v>
      </c>
      <c r="D26" s="23" t="s">
        <v>96</v>
      </c>
      <c r="E26" s="7" t="s">
        <v>13</v>
      </c>
      <c r="F26" s="4" t="s">
        <v>41</v>
      </c>
      <c r="O26"/>
      <c r="P26"/>
      <c r="Q26"/>
      <c r="R26"/>
      <c r="S26"/>
      <c r="T26"/>
      <c r="U26"/>
      <c r="V26"/>
      <c r="W26"/>
      <c r="X26"/>
      <c r="Y26"/>
      <c r="Z26"/>
    </row>
    <row r="27" spans="2:26" ht="18">
      <c r="B27" s="57"/>
      <c r="C27" s="9" t="s">
        <v>42</v>
      </c>
      <c r="D27" s="24">
        <v>25</v>
      </c>
      <c r="E27" s="8" t="s">
        <v>43</v>
      </c>
      <c r="F27" s="4" t="s">
        <v>44</v>
      </c>
      <c r="O27"/>
      <c r="P27"/>
      <c r="Q27"/>
      <c r="R27"/>
      <c r="S27"/>
      <c r="T27"/>
      <c r="U27"/>
      <c r="V27"/>
      <c r="W27"/>
      <c r="X27"/>
      <c r="Y27"/>
      <c r="Z27"/>
    </row>
    <row r="28" spans="2:26" ht="18">
      <c r="B28" s="57"/>
      <c r="C28" s="9" t="s">
        <v>45</v>
      </c>
      <c r="D28" s="24" t="s">
        <v>97</v>
      </c>
      <c r="E28" s="7" t="s">
        <v>13</v>
      </c>
      <c r="F28" s="4" t="s">
        <v>47</v>
      </c>
      <c r="O28"/>
      <c r="P28"/>
      <c r="Q28"/>
      <c r="R28"/>
      <c r="S28"/>
      <c r="T28"/>
      <c r="U28"/>
      <c r="V28"/>
      <c r="W28"/>
      <c r="X28"/>
      <c r="Y28"/>
      <c r="Z28"/>
    </row>
    <row r="29" spans="2:26" ht="18">
      <c r="B29" s="57"/>
      <c r="C29" s="9" t="s">
        <v>48</v>
      </c>
      <c r="D29" s="24">
        <v>1.2</v>
      </c>
      <c r="E29" s="7" t="s">
        <v>13</v>
      </c>
      <c r="F29" s="4" t="s">
        <v>44</v>
      </c>
      <c r="O29"/>
      <c r="P29"/>
      <c r="Q29"/>
      <c r="R29"/>
      <c r="S29"/>
      <c r="T29"/>
      <c r="U29"/>
      <c r="V29"/>
      <c r="W29"/>
      <c r="X29"/>
      <c r="Y29"/>
      <c r="Z29"/>
    </row>
    <row r="30" spans="2:26" ht="18">
      <c r="B30" s="57"/>
      <c r="C30" s="9" t="s">
        <v>50</v>
      </c>
      <c r="D30" s="24">
        <v>195</v>
      </c>
      <c r="E30" s="8" t="s">
        <v>51</v>
      </c>
      <c r="F30" s="4" t="s">
        <v>52</v>
      </c>
      <c r="O30"/>
      <c r="P30"/>
      <c r="Q30"/>
      <c r="R30"/>
      <c r="S30"/>
      <c r="T30"/>
      <c r="U30"/>
      <c r="V30"/>
      <c r="W30"/>
      <c r="X30"/>
      <c r="Y30"/>
      <c r="Z30"/>
    </row>
    <row r="31" spans="2:26" ht="18">
      <c r="B31" s="57"/>
      <c r="C31" s="9" t="s">
        <v>53</v>
      </c>
      <c r="D31" s="31" t="s">
        <v>49</v>
      </c>
      <c r="E31" s="7" t="s">
        <v>13</v>
      </c>
      <c r="F31" s="4" t="s">
        <v>44</v>
      </c>
      <c r="O31"/>
      <c r="P31"/>
      <c r="Q31"/>
      <c r="R31"/>
      <c r="S31"/>
      <c r="T31"/>
      <c r="U31"/>
      <c r="V31"/>
      <c r="W31"/>
      <c r="X31"/>
      <c r="Y31"/>
      <c r="Z31"/>
    </row>
    <row r="32" spans="2:26" ht="18">
      <c r="B32" s="57"/>
      <c r="C32" s="9" t="s">
        <v>54</v>
      </c>
      <c r="D32" s="31"/>
      <c r="E32" s="7" t="s">
        <v>13</v>
      </c>
      <c r="F32" s="4" t="s">
        <v>44</v>
      </c>
      <c r="O32"/>
      <c r="P32"/>
      <c r="Q32"/>
      <c r="R32"/>
      <c r="S32"/>
      <c r="T32"/>
      <c r="U32"/>
      <c r="V32"/>
      <c r="W32"/>
      <c r="X32"/>
      <c r="Y32"/>
      <c r="Z32"/>
    </row>
    <row r="33" spans="2:26" ht="18">
      <c r="B33" s="57"/>
      <c r="C33" s="9" t="s">
        <v>55</v>
      </c>
      <c r="D33" s="31" t="s">
        <v>49</v>
      </c>
      <c r="E33" s="8" t="s">
        <v>56</v>
      </c>
      <c r="F33" s="4" t="s">
        <v>44</v>
      </c>
      <c r="O33"/>
      <c r="P33"/>
      <c r="Q33"/>
      <c r="R33"/>
      <c r="S33"/>
      <c r="T33"/>
      <c r="U33"/>
      <c r="V33"/>
      <c r="W33"/>
      <c r="X33"/>
      <c r="Y33"/>
      <c r="Z33"/>
    </row>
    <row r="34" spans="2:26" ht="18">
      <c r="B34" s="58"/>
      <c r="C34" s="9" t="s">
        <v>57</v>
      </c>
      <c r="D34" s="23">
        <v>5400</v>
      </c>
      <c r="E34" s="8" t="s">
        <v>56</v>
      </c>
      <c r="F34" s="4" t="s">
        <v>44</v>
      </c>
      <c r="O34"/>
      <c r="P34"/>
      <c r="Q34"/>
      <c r="R34"/>
      <c r="S34"/>
      <c r="T34"/>
      <c r="U34"/>
      <c r="V34"/>
      <c r="W34"/>
      <c r="X34"/>
      <c r="Y34"/>
      <c r="Z34"/>
    </row>
    <row r="35" spans="2:26" ht="18">
      <c r="B35" s="52" t="s">
        <v>58</v>
      </c>
      <c r="C35" s="9" t="s">
        <v>59</v>
      </c>
      <c r="D35" s="25">
        <v>0.91</v>
      </c>
      <c r="E35" s="7" t="s">
        <v>13</v>
      </c>
      <c r="F35" s="4" t="s">
        <v>44</v>
      </c>
      <c r="O35"/>
      <c r="P35"/>
      <c r="Q35"/>
      <c r="R35"/>
      <c r="S35"/>
      <c r="T35"/>
      <c r="U35"/>
      <c r="V35"/>
      <c r="W35"/>
      <c r="X35"/>
      <c r="Y35"/>
      <c r="Z35"/>
    </row>
    <row r="36" spans="2:26" ht="18">
      <c r="B36" s="53"/>
      <c r="C36" s="9" t="s">
        <v>60</v>
      </c>
      <c r="D36" s="32"/>
      <c r="E36" s="7" t="s">
        <v>13</v>
      </c>
      <c r="F36" s="4" t="s">
        <v>44</v>
      </c>
      <c r="O36"/>
      <c r="P36"/>
      <c r="Q36"/>
      <c r="R36"/>
      <c r="S36"/>
      <c r="T36"/>
      <c r="U36"/>
      <c r="V36"/>
      <c r="W36"/>
      <c r="X36"/>
      <c r="Y36"/>
      <c r="Z36"/>
    </row>
    <row r="37" spans="2:26" ht="18">
      <c r="B37" s="59" t="s">
        <v>61</v>
      </c>
      <c r="C37" s="10" t="s">
        <v>62</v>
      </c>
      <c r="D37" s="26"/>
      <c r="E37" s="11" t="s">
        <v>63</v>
      </c>
      <c r="F37" s="4" t="s">
        <v>64</v>
      </c>
      <c r="O37"/>
      <c r="P37"/>
      <c r="Q37"/>
      <c r="R37"/>
      <c r="S37"/>
      <c r="T37"/>
      <c r="U37"/>
      <c r="V37"/>
      <c r="W37"/>
      <c r="X37"/>
      <c r="Y37"/>
      <c r="Z37"/>
    </row>
    <row r="38" spans="2:26" ht="18">
      <c r="B38" s="60"/>
      <c r="C38" s="10" t="s">
        <v>65</v>
      </c>
      <c r="D38" s="26"/>
      <c r="E38" s="11" t="s">
        <v>63</v>
      </c>
      <c r="F38" s="4" t="s">
        <v>66</v>
      </c>
      <c r="O38"/>
      <c r="P38"/>
      <c r="Q38"/>
      <c r="R38"/>
      <c r="S38"/>
      <c r="T38"/>
      <c r="U38"/>
      <c r="V38"/>
      <c r="W38"/>
      <c r="X38"/>
      <c r="Y38"/>
      <c r="Z38"/>
    </row>
    <row r="39" spans="2:26" ht="18">
      <c r="B39" s="60"/>
      <c r="C39" s="10" t="s">
        <v>67</v>
      </c>
      <c r="D39" s="26"/>
      <c r="E39" s="11" t="s">
        <v>63</v>
      </c>
      <c r="F39" s="4" t="s">
        <v>68</v>
      </c>
      <c r="O39"/>
      <c r="P39"/>
      <c r="Q39"/>
      <c r="R39"/>
      <c r="S39"/>
      <c r="T39"/>
      <c r="U39"/>
      <c r="V39"/>
      <c r="W39"/>
      <c r="X39"/>
      <c r="Y39"/>
      <c r="Z39"/>
    </row>
    <row r="40" spans="2:26" ht="18">
      <c r="B40" s="61"/>
      <c r="C40" s="10" t="s">
        <v>69</v>
      </c>
      <c r="D40" s="26"/>
      <c r="E40" s="11" t="s">
        <v>63</v>
      </c>
      <c r="F40" s="4" t="s">
        <v>70</v>
      </c>
      <c r="O40"/>
      <c r="P40"/>
      <c r="Q40"/>
      <c r="R40"/>
      <c r="S40"/>
      <c r="T40"/>
      <c r="U40"/>
      <c r="V40"/>
      <c r="W40"/>
      <c r="X40"/>
      <c r="Y40"/>
      <c r="Z40"/>
    </row>
    <row r="41" spans="2:26" ht="18">
      <c r="C41" s="12" t="s">
        <v>71</v>
      </c>
      <c r="D41"/>
      <c r="E41"/>
      <c r="F41"/>
      <c r="O41"/>
      <c r="P41"/>
      <c r="Q41"/>
      <c r="R41"/>
      <c r="S41"/>
      <c r="T41"/>
      <c r="U41"/>
      <c r="V41"/>
      <c r="W41"/>
      <c r="X41"/>
      <c r="Y41"/>
      <c r="Z41"/>
    </row>
    <row r="42" spans="2:26" ht="18">
      <c r="O42"/>
      <c r="P42"/>
      <c r="Q42"/>
      <c r="R42"/>
      <c r="S42"/>
      <c r="T42"/>
      <c r="U42"/>
      <c r="V42"/>
      <c r="W42"/>
      <c r="X42"/>
      <c r="Y42"/>
      <c r="Z42"/>
    </row>
    <row r="43" spans="2:26" ht="18">
      <c r="G43" s="2" t="s">
        <v>0</v>
      </c>
      <c r="O43"/>
      <c r="P43"/>
      <c r="Q43"/>
      <c r="R43"/>
      <c r="S43"/>
      <c r="T43"/>
      <c r="U43"/>
      <c r="V43"/>
      <c r="W43"/>
      <c r="X43"/>
      <c r="Y43"/>
      <c r="Z43"/>
    </row>
    <row r="44" spans="2:26" ht="19.899999999999999">
      <c r="B44" s="54" t="s">
        <v>72</v>
      </c>
      <c r="C44" s="54"/>
      <c r="D44" s="54"/>
      <c r="E44" s="54"/>
      <c r="F44" s="54"/>
      <c r="O44"/>
      <c r="P44"/>
      <c r="Q44"/>
      <c r="R44"/>
      <c r="S44"/>
      <c r="T44"/>
      <c r="U44"/>
      <c r="V44"/>
      <c r="W44"/>
      <c r="X44"/>
      <c r="Y44"/>
      <c r="Z44"/>
    </row>
    <row r="45" spans="2:26" ht="18">
      <c r="O45"/>
      <c r="P45"/>
      <c r="Q45"/>
      <c r="R45"/>
      <c r="S45"/>
      <c r="T45"/>
      <c r="U45"/>
      <c r="V45"/>
      <c r="W45"/>
      <c r="X45"/>
      <c r="Y45"/>
      <c r="Z45"/>
    </row>
    <row r="46" spans="2:26" ht="18">
      <c r="B46" s="1" t="s">
        <v>2</v>
      </c>
      <c r="O46"/>
      <c r="P46"/>
      <c r="Q46"/>
      <c r="R46"/>
      <c r="S46"/>
      <c r="T46"/>
      <c r="U46"/>
      <c r="V46"/>
      <c r="W46"/>
      <c r="X46"/>
      <c r="Y46"/>
      <c r="Z46"/>
    </row>
    <row r="47" spans="2:26" ht="18">
      <c r="F47" s="3" t="str">
        <f>F5</f>
        <v>スパークス・グリーンエナジー＆テクノロジー株式会社</v>
      </c>
      <c r="O47"/>
      <c r="P47"/>
      <c r="Q47"/>
      <c r="R47"/>
      <c r="S47"/>
      <c r="T47"/>
      <c r="U47"/>
      <c r="V47"/>
      <c r="W47"/>
      <c r="X47"/>
      <c r="Y47"/>
      <c r="Z47"/>
    </row>
    <row r="48" spans="2:26" ht="18">
      <c r="O48"/>
      <c r="P48"/>
      <c r="Q48"/>
      <c r="R48"/>
      <c r="S48"/>
      <c r="T48"/>
      <c r="U48"/>
      <c r="V48"/>
      <c r="W48"/>
      <c r="X48"/>
      <c r="Y48"/>
      <c r="Z48"/>
    </row>
    <row r="49" spans="2:26" ht="18">
      <c r="B49" s="1" t="s">
        <v>4</v>
      </c>
      <c r="O49"/>
      <c r="P49"/>
      <c r="Q49"/>
      <c r="R49"/>
      <c r="S49"/>
      <c r="T49"/>
      <c r="U49"/>
      <c r="V49"/>
      <c r="W49"/>
      <c r="X49"/>
      <c r="Y49"/>
      <c r="Z49"/>
    </row>
    <row r="50" spans="2:26" ht="12" customHeight="1">
      <c r="O50"/>
      <c r="P50"/>
      <c r="Q50"/>
      <c r="R50"/>
      <c r="S50"/>
      <c r="T50"/>
      <c r="U50"/>
      <c r="V50"/>
      <c r="W50"/>
      <c r="X50"/>
      <c r="Y50"/>
      <c r="Z50"/>
    </row>
    <row r="51" spans="2:26" ht="18">
      <c r="B51" s="4" t="s">
        <v>5</v>
      </c>
      <c r="C51" s="19">
        <f>C9</f>
        <v>46028</v>
      </c>
      <c r="D51" s="4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2:26" ht="18">
      <c r="B52" s="4" t="s">
        <v>6</v>
      </c>
      <c r="C52" s="19">
        <f>C10</f>
        <v>46053</v>
      </c>
      <c r="D52" s="4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2:26" ht="18">
      <c r="P53"/>
      <c r="Q53"/>
      <c r="R53"/>
      <c r="S53"/>
      <c r="T53"/>
      <c r="U53"/>
      <c r="V53"/>
    </row>
    <row r="54" spans="2:26" ht="18">
      <c r="P54"/>
      <c r="Q54"/>
      <c r="R54"/>
      <c r="S54"/>
      <c r="T54"/>
      <c r="U54"/>
      <c r="V54"/>
    </row>
    <row r="55" spans="2:26" ht="18">
      <c r="B55" s="1" t="s">
        <v>7</v>
      </c>
      <c r="P55"/>
      <c r="Q55"/>
      <c r="R55"/>
      <c r="S55"/>
      <c r="T55"/>
      <c r="U55"/>
      <c r="V55"/>
    </row>
    <row r="56" spans="2:26" ht="18">
      <c r="B56" s="55" t="s">
        <v>8</v>
      </c>
      <c r="C56" s="55"/>
      <c r="D56" s="55"/>
      <c r="E56" s="55"/>
      <c r="F56" s="5" t="s">
        <v>9</v>
      </c>
      <c r="P56"/>
      <c r="Q56"/>
      <c r="R56"/>
      <c r="S56"/>
      <c r="T56"/>
      <c r="U56"/>
      <c r="V56"/>
    </row>
    <row r="57" spans="2:26" ht="18">
      <c r="B57" s="56" t="s">
        <v>10</v>
      </c>
      <c r="C57" s="6" t="s">
        <v>11</v>
      </c>
      <c r="D57" s="14" t="str">
        <f>D15</f>
        <v>SGET片品メガソーラー発電所</v>
      </c>
      <c r="E57" s="7" t="s">
        <v>13</v>
      </c>
      <c r="F57" s="4"/>
      <c r="P57"/>
      <c r="Q57"/>
      <c r="R57"/>
      <c r="S57"/>
      <c r="T57"/>
      <c r="U57"/>
      <c r="V57"/>
    </row>
    <row r="58" spans="2:26" ht="18">
      <c r="B58" s="57"/>
      <c r="C58" s="6" t="s">
        <v>14</v>
      </c>
      <c r="D58" s="15" t="str">
        <f>D16</f>
        <v>群馬県利根郡片品村大字東小川4648番地</v>
      </c>
      <c r="E58" s="7" t="s">
        <v>13</v>
      </c>
      <c r="F58" s="4"/>
      <c r="P58"/>
      <c r="Q58"/>
      <c r="R58"/>
      <c r="S58"/>
      <c r="T58"/>
      <c r="U58"/>
      <c r="V58"/>
    </row>
    <row r="59" spans="2:26" ht="18">
      <c r="B59" s="57"/>
      <c r="C59" s="6" t="s">
        <v>16</v>
      </c>
      <c r="D59" s="15">
        <f>D17</f>
        <v>36.465000000000003</v>
      </c>
      <c r="E59" s="8" t="s">
        <v>17</v>
      </c>
      <c r="F59" s="4" t="s">
        <v>18</v>
      </c>
      <c r="P59"/>
      <c r="Q59"/>
      <c r="R59"/>
      <c r="S59"/>
      <c r="T59"/>
      <c r="U59"/>
      <c r="V59"/>
    </row>
    <row r="60" spans="2:26" ht="18">
      <c r="B60" s="57"/>
      <c r="C60" s="6" t="s">
        <v>19</v>
      </c>
      <c r="D60" s="15">
        <f>D18</f>
        <v>139.15270000000001</v>
      </c>
      <c r="E60" s="8" t="s">
        <v>17</v>
      </c>
      <c r="F60" s="4" t="s">
        <v>20</v>
      </c>
      <c r="P60"/>
      <c r="Q60"/>
      <c r="R60"/>
      <c r="S60"/>
      <c r="T60"/>
      <c r="U60"/>
      <c r="V60"/>
    </row>
    <row r="61" spans="2:26" ht="18">
      <c r="B61" s="58"/>
      <c r="C61" s="6" t="s">
        <v>24</v>
      </c>
      <c r="D61" s="16">
        <f>D20</f>
        <v>11495000</v>
      </c>
      <c r="E61" s="18" t="s">
        <v>25</v>
      </c>
      <c r="F61" s="4"/>
      <c r="P61"/>
      <c r="Q61"/>
      <c r="R61"/>
      <c r="S61"/>
      <c r="T61"/>
      <c r="U61"/>
      <c r="V61"/>
    </row>
    <row r="62" spans="2:26" ht="18">
      <c r="B62" s="59" t="s">
        <v>61</v>
      </c>
      <c r="C62" s="10" t="s">
        <v>62</v>
      </c>
      <c r="D62" s="17"/>
      <c r="E62" s="11" t="s">
        <v>63</v>
      </c>
      <c r="F62" s="4" t="s">
        <v>64</v>
      </c>
      <c r="P62"/>
      <c r="Q62"/>
      <c r="R62"/>
      <c r="S62"/>
      <c r="T62"/>
      <c r="U62"/>
      <c r="V62"/>
    </row>
    <row r="63" spans="2:26">
      <c r="B63" s="60"/>
      <c r="C63" s="10" t="s">
        <v>65</v>
      </c>
      <c r="D63" s="17"/>
      <c r="E63" s="11" t="s">
        <v>63</v>
      </c>
      <c r="F63" s="4" t="s">
        <v>66</v>
      </c>
    </row>
    <row r="64" spans="2:26">
      <c r="B64" s="60"/>
      <c r="C64" s="10" t="s">
        <v>67</v>
      </c>
      <c r="D64" s="17"/>
      <c r="E64" s="11" t="s">
        <v>63</v>
      </c>
      <c r="F64" s="4" t="s">
        <v>68</v>
      </c>
    </row>
    <row r="65" spans="2:9">
      <c r="B65" s="61"/>
      <c r="C65" s="10" t="s">
        <v>69</v>
      </c>
      <c r="D65" s="17"/>
      <c r="E65" s="11" t="s">
        <v>63</v>
      </c>
      <c r="F65" s="4" t="s">
        <v>70</v>
      </c>
    </row>
    <row r="66" spans="2:9" ht="18">
      <c r="C66" s="12"/>
      <c r="D66"/>
      <c r="E66"/>
      <c r="F66"/>
    </row>
    <row r="68" spans="2:9" ht="18">
      <c r="B68"/>
      <c r="C68"/>
      <c r="D68"/>
      <c r="E68"/>
      <c r="F68"/>
      <c r="H68"/>
      <c r="I68"/>
    </row>
    <row r="69" spans="2:9" ht="18">
      <c r="B69"/>
      <c r="C69"/>
      <c r="D69"/>
      <c r="E69"/>
      <c r="F69"/>
      <c r="H69"/>
      <c r="I69"/>
    </row>
    <row r="70" spans="2:9" ht="18">
      <c r="C70"/>
      <c r="D70"/>
      <c r="E70"/>
      <c r="F70"/>
      <c r="G70" s="13"/>
      <c r="H70"/>
      <c r="I70"/>
    </row>
    <row r="71" spans="2:9" ht="18">
      <c r="C71"/>
      <c r="D71"/>
      <c r="E71"/>
      <c r="F71"/>
      <c r="G71" s="13"/>
      <c r="H71"/>
      <c r="I71"/>
    </row>
    <row r="72" spans="2:9" ht="18">
      <c r="C72"/>
      <c r="D72"/>
      <c r="E72"/>
      <c r="F72"/>
      <c r="G72" s="13"/>
      <c r="H72"/>
      <c r="I72"/>
    </row>
    <row r="73" spans="2:9" ht="18">
      <c r="C73"/>
      <c r="D73"/>
      <c r="E73"/>
      <c r="F73"/>
      <c r="G73" s="13"/>
      <c r="H73"/>
      <c r="I73"/>
    </row>
    <row r="74" spans="2:9" ht="18">
      <c r="C74"/>
      <c r="D74"/>
      <c r="E74"/>
      <c r="F74"/>
      <c r="G74" s="13"/>
      <c r="H74"/>
      <c r="I74"/>
    </row>
    <row r="75" spans="2:9" ht="18">
      <c r="C75"/>
      <c r="D75"/>
      <c r="E75"/>
      <c r="F75"/>
      <c r="G75" s="13"/>
      <c r="H75"/>
      <c r="I75"/>
    </row>
    <row r="76" spans="2:9" ht="18">
      <c r="C76"/>
      <c r="D76"/>
      <c r="E76"/>
      <c r="F76"/>
    </row>
    <row r="77" spans="2:9" ht="18">
      <c r="C77"/>
      <c r="D77"/>
      <c r="E77"/>
      <c r="F77"/>
    </row>
    <row r="78" spans="2:9" ht="18">
      <c r="C78"/>
      <c r="D78"/>
      <c r="E78"/>
      <c r="F78"/>
    </row>
    <row r="79" spans="2:9" ht="18">
      <c r="C79"/>
      <c r="D79"/>
      <c r="E79"/>
      <c r="F79"/>
    </row>
    <row r="80" spans="2:9" ht="18">
      <c r="C80"/>
      <c r="D80"/>
      <c r="E80"/>
      <c r="F80"/>
    </row>
    <row r="81" spans="2:6" ht="18">
      <c r="C81"/>
      <c r="D81"/>
      <c r="E81"/>
      <c r="F81"/>
    </row>
    <row r="82" spans="2:6" ht="18">
      <c r="C82"/>
      <c r="D82"/>
      <c r="E82"/>
      <c r="F82"/>
    </row>
    <row r="83" spans="2:6" ht="18">
      <c r="C83"/>
      <c r="D83"/>
      <c r="E83"/>
      <c r="F83"/>
    </row>
    <row r="84" spans="2:6" ht="18">
      <c r="C84"/>
      <c r="D84"/>
      <c r="E84"/>
      <c r="F84"/>
    </row>
    <row r="85" spans="2:6" ht="18">
      <c r="C85"/>
      <c r="D85"/>
      <c r="E85"/>
      <c r="F85"/>
    </row>
    <row r="86" spans="2:6" ht="18">
      <c r="C86"/>
      <c r="D86"/>
      <c r="E86"/>
      <c r="F86"/>
    </row>
    <row r="87" spans="2:6" ht="18">
      <c r="C87"/>
      <c r="D87"/>
      <c r="E87"/>
      <c r="F87"/>
    </row>
    <row r="88" spans="2:6" ht="18">
      <c r="C88"/>
      <c r="D88"/>
      <c r="E88"/>
      <c r="F88"/>
    </row>
    <row r="89" spans="2:6" ht="18">
      <c r="C89"/>
      <c r="D89"/>
      <c r="E89"/>
      <c r="F89"/>
    </row>
    <row r="90" spans="2:6" ht="18">
      <c r="C90"/>
      <c r="D90"/>
      <c r="E90"/>
      <c r="F90"/>
    </row>
    <row r="91" spans="2:6" ht="18">
      <c r="C91"/>
      <c r="D91"/>
      <c r="E91"/>
      <c r="F91"/>
    </row>
    <row r="92" spans="2:6" ht="18">
      <c r="C92"/>
      <c r="D92"/>
      <c r="E92"/>
      <c r="F92"/>
    </row>
    <row r="93" spans="2:6" ht="18">
      <c r="C93"/>
      <c r="D93"/>
      <c r="E93"/>
      <c r="F93"/>
    </row>
    <row r="94" spans="2:6" ht="18">
      <c r="C94"/>
      <c r="D94"/>
      <c r="E94"/>
      <c r="F94"/>
    </row>
    <row r="95" spans="2:6" ht="18">
      <c r="C95"/>
      <c r="D95"/>
      <c r="E95"/>
      <c r="F95"/>
    </row>
    <row r="96" spans="2:6" ht="18">
      <c r="B96"/>
      <c r="C96"/>
      <c r="D96"/>
      <c r="E96"/>
      <c r="F96"/>
    </row>
    <row r="97" spans="2:6" ht="13.5" customHeight="1">
      <c r="B97"/>
      <c r="C97"/>
      <c r="D97"/>
      <c r="E97"/>
      <c r="F97"/>
    </row>
    <row r="98" spans="2:6" ht="18">
      <c r="B98"/>
      <c r="C98"/>
      <c r="D98"/>
      <c r="E98"/>
      <c r="F98"/>
    </row>
    <row r="99" spans="2:6" ht="18">
      <c r="B99"/>
      <c r="C99"/>
      <c r="D99"/>
      <c r="E99"/>
      <c r="F99"/>
    </row>
    <row r="100" spans="2:6" ht="18">
      <c r="B100"/>
      <c r="C100"/>
      <c r="D100"/>
      <c r="E100"/>
      <c r="F100"/>
    </row>
    <row r="101" spans="2:6" ht="18">
      <c r="B101"/>
      <c r="C101"/>
      <c r="D101"/>
      <c r="E101"/>
      <c r="F101"/>
    </row>
    <row r="102" spans="2:6" ht="18">
      <c r="B102"/>
      <c r="C102"/>
      <c r="D102"/>
      <c r="E102"/>
      <c r="F102"/>
    </row>
    <row r="103" spans="2:6" ht="18">
      <c r="B103"/>
      <c r="C103"/>
      <c r="D103"/>
      <c r="E103"/>
      <c r="F103"/>
    </row>
    <row r="104" spans="2:6" ht="18">
      <c r="B104"/>
      <c r="C104"/>
      <c r="D104"/>
      <c r="E104"/>
      <c r="F104"/>
    </row>
    <row r="105" spans="2:6" ht="18">
      <c r="B105"/>
      <c r="C105"/>
      <c r="D105"/>
      <c r="E105"/>
      <c r="F105"/>
    </row>
  </sheetData>
  <mergeCells count="11">
    <mergeCell ref="B37:B40"/>
    <mergeCell ref="B44:F44"/>
    <mergeCell ref="B56:E56"/>
    <mergeCell ref="B57:B61"/>
    <mergeCell ref="B62:B65"/>
    <mergeCell ref="B35:B36"/>
    <mergeCell ref="B2:F2"/>
    <mergeCell ref="B14:E14"/>
    <mergeCell ref="B15:B20"/>
    <mergeCell ref="B21:B25"/>
    <mergeCell ref="B26:B34"/>
  </mergeCells>
  <phoneticPr fontId="3"/>
  <dataValidations count="3">
    <dataValidation type="list" allowBlank="1" showInputMessage="1" showErrorMessage="1" sqref="D26" xr:uid="{8B52AAB2-D7E3-40C2-94B4-D67BB966978C}">
      <formula1>"JIS-C8955(2004年版),JIS-C8955(2017年版),NEDOガイドライン(2019年版)"</formula1>
    </dataValidation>
    <dataValidation type="list" allowBlank="1" showInputMessage="1" showErrorMessage="1" sqref="D21" xr:uid="{D156FE91-969E-44AE-9E01-4DA034344E8D}">
      <formula1>"極めて重要,通常"</formula1>
    </dataValidation>
    <dataValidation type="list" allowBlank="1" showInputMessage="1" showErrorMessage="1" sqref="D28" xr:uid="{A141915E-8384-45AF-B2A1-CFCAA534C805}">
      <formula1>"Ⅰ,Ⅱ,Ⅲ,Ⅳ"</formula1>
    </dataValidation>
  </dataValidations>
  <pageMargins left="0.25" right="0.25" top="0.75" bottom="0.75" header="0.3" footer="0.3"/>
  <pageSetup paperSize="9" scale="59" orientation="portrait" r:id="rId1"/>
  <colBreaks count="1" manualBreakCount="1">
    <brk id="1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27EE7-3528-41C6-AA97-711B26D8B9B7}">
  <sheetPr>
    <tabColor rgb="FF00B050"/>
    <pageSetUpPr fitToPage="1"/>
  </sheetPr>
  <dimension ref="B1:Z105"/>
  <sheetViews>
    <sheetView showOutlineSymbols="0" view="pageBreakPreview" topLeftCell="A19" zoomScale="80" zoomScaleNormal="100" zoomScaleSheetLayoutView="80" workbookViewId="0">
      <selection activeCell="D25" sqref="D25"/>
    </sheetView>
  </sheetViews>
  <sheetFormatPr defaultColWidth="9" defaultRowHeight="16.149999999999999"/>
  <cols>
    <col min="1" max="1" width="7.125" style="1" customWidth="1"/>
    <col min="2" max="2" width="10.75" style="1" customWidth="1"/>
    <col min="3" max="3" width="24.25" style="1" customWidth="1"/>
    <col min="4" max="4" width="25.875" style="1" bestFit="1" customWidth="1"/>
    <col min="5" max="5" width="6.375" style="1" customWidth="1"/>
    <col min="6" max="6" width="61.75" style="1" customWidth="1"/>
    <col min="7" max="7" width="8.25" style="1" customWidth="1"/>
    <col min="8" max="15" width="10.75" style="1" customWidth="1"/>
    <col min="16" max="17" width="9" style="1"/>
    <col min="18" max="18" width="10.75" style="1" bestFit="1" customWidth="1"/>
    <col min="19" max="20" width="10.5" style="1" customWidth="1"/>
    <col min="21" max="16384" width="9" style="1"/>
  </cols>
  <sheetData>
    <row r="1" spans="2:26">
      <c r="G1" s="2" t="s">
        <v>0</v>
      </c>
    </row>
    <row r="2" spans="2:26" ht="19.899999999999999">
      <c r="B2" s="54" t="s">
        <v>1</v>
      </c>
      <c r="C2" s="54"/>
      <c r="D2" s="54"/>
      <c r="E2" s="54"/>
      <c r="F2" s="54"/>
    </row>
    <row r="4" spans="2:26">
      <c r="B4" s="1" t="s">
        <v>2</v>
      </c>
    </row>
    <row r="5" spans="2:26">
      <c r="F5" s="3" t="s">
        <v>3</v>
      </c>
    </row>
    <row r="7" spans="2:26">
      <c r="B7" s="1" t="s">
        <v>4</v>
      </c>
    </row>
    <row r="9" spans="2:26">
      <c r="B9" s="4" t="s">
        <v>5</v>
      </c>
      <c r="C9" s="19">
        <v>46028</v>
      </c>
      <c r="D9" s="4"/>
    </row>
    <row r="10" spans="2:26">
      <c r="B10" s="4" t="s">
        <v>6</v>
      </c>
      <c r="C10" s="19">
        <v>46053</v>
      </c>
      <c r="D10" s="4"/>
    </row>
    <row r="13" spans="2:26" ht="18">
      <c r="B13" s="1" t="s">
        <v>7</v>
      </c>
      <c r="O13"/>
      <c r="P13"/>
      <c r="Q13"/>
      <c r="R13"/>
      <c r="S13"/>
      <c r="T13"/>
      <c r="U13"/>
      <c r="V13"/>
      <c r="W13"/>
      <c r="X13"/>
      <c r="Y13"/>
      <c r="Z13"/>
    </row>
    <row r="14" spans="2:26" ht="18">
      <c r="B14" s="55" t="s">
        <v>8</v>
      </c>
      <c r="C14" s="55"/>
      <c r="D14" s="55"/>
      <c r="E14" s="55"/>
      <c r="F14" s="5" t="s">
        <v>9</v>
      </c>
      <c r="O14"/>
      <c r="P14"/>
      <c r="Q14"/>
      <c r="R14"/>
      <c r="S14"/>
      <c r="T14"/>
      <c r="U14"/>
      <c r="V14"/>
      <c r="W14"/>
      <c r="X14"/>
      <c r="Y14"/>
      <c r="Z14"/>
    </row>
    <row r="15" spans="2:26" ht="18">
      <c r="B15" s="56" t="s">
        <v>10</v>
      </c>
      <c r="C15" s="6" t="s">
        <v>11</v>
      </c>
      <c r="D15" s="14" t="s">
        <v>144</v>
      </c>
      <c r="E15" s="7" t="s">
        <v>13</v>
      </c>
      <c r="F15" s="4"/>
      <c r="O15"/>
      <c r="P15"/>
      <c r="Q15"/>
      <c r="R15"/>
      <c r="S15"/>
      <c r="T15"/>
      <c r="U15"/>
      <c r="V15"/>
      <c r="W15"/>
      <c r="X15"/>
      <c r="Y15"/>
      <c r="Z15"/>
    </row>
    <row r="16" spans="2:26" ht="18">
      <c r="B16" s="57"/>
      <c r="C16" s="6" t="s">
        <v>14</v>
      </c>
      <c r="D16" s="15" t="s">
        <v>145</v>
      </c>
      <c r="E16" s="7" t="s">
        <v>13</v>
      </c>
      <c r="F16" s="4"/>
      <c r="O16"/>
      <c r="P16"/>
      <c r="Q16"/>
      <c r="R16"/>
      <c r="S16"/>
      <c r="T16"/>
      <c r="U16"/>
      <c r="V16"/>
      <c r="W16"/>
      <c r="X16"/>
      <c r="Y16"/>
      <c r="Z16"/>
    </row>
    <row r="17" spans="2:26" ht="18">
      <c r="B17" s="57"/>
      <c r="C17" s="6" t="s">
        <v>16</v>
      </c>
      <c r="D17" s="15">
        <v>36.465000000000003</v>
      </c>
      <c r="E17" s="8" t="s">
        <v>17</v>
      </c>
      <c r="F17" s="4" t="s">
        <v>18</v>
      </c>
      <c r="O17"/>
      <c r="P17"/>
      <c r="Q17"/>
      <c r="R17"/>
      <c r="S17"/>
      <c r="T17"/>
      <c r="U17"/>
      <c r="V17"/>
      <c r="W17"/>
      <c r="X17"/>
      <c r="Y17"/>
      <c r="Z17"/>
    </row>
    <row r="18" spans="2:26" ht="18">
      <c r="B18" s="57"/>
      <c r="C18" s="6" t="s">
        <v>19</v>
      </c>
      <c r="D18" s="15">
        <v>139.15270000000001</v>
      </c>
      <c r="E18" s="8" t="s">
        <v>17</v>
      </c>
      <c r="F18" s="4" t="s">
        <v>20</v>
      </c>
      <c r="O18"/>
      <c r="P18"/>
      <c r="Q18"/>
      <c r="R18"/>
      <c r="S18"/>
      <c r="T18"/>
      <c r="U18"/>
      <c r="V18"/>
      <c r="W18"/>
      <c r="X18"/>
      <c r="Y18"/>
      <c r="Z18"/>
    </row>
    <row r="19" spans="2:26" ht="18">
      <c r="B19" s="57"/>
      <c r="C19" s="6" t="s">
        <v>21</v>
      </c>
      <c r="D19" s="27">
        <v>44256</v>
      </c>
      <c r="E19" s="7" t="s">
        <v>22</v>
      </c>
      <c r="F19" s="4" t="s">
        <v>23</v>
      </c>
      <c r="O19"/>
      <c r="P19"/>
      <c r="Q19"/>
      <c r="R19"/>
      <c r="S19"/>
      <c r="T19"/>
      <c r="U19"/>
      <c r="V19"/>
      <c r="W19"/>
      <c r="X19"/>
      <c r="Y19"/>
      <c r="Z19"/>
    </row>
    <row r="20" spans="2:26" ht="18">
      <c r="B20" s="58"/>
      <c r="C20" s="6" t="s">
        <v>24</v>
      </c>
      <c r="D20" s="20">
        <v>11495000</v>
      </c>
      <c r="E20" s="18" t="s">
        <v>25</v>
      </c>
      <c r="F20" s="4"/>
      <c r="O20"/>
      <c r="P20"/>
      <c r="Q20"/>
      <c r="R20"/>
      <c r="S20"/>
      <c r="T20"/>
      <c r="U20"/>
      <c r="V20"/>
      <c r="W20"/>
      <c r="X20"/>
      <c r="Y20"/>
      <c r="Z20"/>
    </row>
    <row r="21" spans="2:26" ht="18">
      <c r="B21" s="56" t="s">
        <v>26</v>
      </c>
      <c r="C21" s="6" t="s">
        <v>27</v>
      </c>
      <c r="D21" s="21" t="s">
        <v>28</v>
      </c>
      <c r="E21" s="7" t="s">
        <v>13</v>
      </c>
      <c r="F21" s="4" t="s">
        <v>29</v>
      </c>
      <c r="O21"/>
      <c r="P21"/>
      <c r="Q21"/>
      <c r="R21"/>
      <c r="S21"/>
      <c r="T21"/>
      <c r="U21"/>
      <c r="V21"/>
      <c r="W21"/>
      <c r="X21"/>
      <c r="Y21"/>
      <c r="Z21"/>
    </row>
    <row r="22" spans="2:26" ht="18">
      <c r="B22" s="57"/>
      <c r="C22" s="9" t="s">
        <v>30</v>
      </c>
      <c r="D22" s="21">
        <v>25</v>
      </c>
      <c r="E22" s="8" t="s">
        <v>31</v>
      </c>
      <c r="F22" s="4" t="s">
        <v>32</v>
      </c>
      <c r="O22"/>
      <c r="P22"/>
      <c r="Q22"/>
      <c r="R22"/>
      <c r="S22"/>
      <c r="T22"/>
      <c r="U22"/>
      <c r="V22"/>
      <c r="W22"/>
      <c r="X22"/>
      <c r="Y22"/>
      <c r="Z22"/>
    </row>
    <row r="23" spans="2:26" ht="18">
      <c r="B23" s="57"/>
      <c r="C23" s="9" t="s">
        <v>33</v>
      </c>
      <c r="D23" s="22">
        <f>(2.723-0.969)/2+0.969</f>
        <v>1.8460000000000001</v>
      </c>
      <c r="E23" s="8" t="s">
        <v>34</v>
      </c>
      <c r="F23" s="4" t="s">
        <v>32</v>
      </c>
      <c r="O23"/>
      <c r="P23"/>
      <c r="Q23"/>
      <c r="R23"/>
      <c r="S23"/>
      <c r="T23"/>
      <c r="U23"/>
      <c r="V23"/>
      <c r="W23"/>
      <c r="X23"/>
      <c r="Y23"/>
      <c r="Z23"/>
    </row>
    <row r="24" spans="2:26" ht="18">
      <c r="B24" s="57"/>
      <c r="C24" s="9" t="s">
        <v>35</v>
      </c>
      <c r="D24" s="22">
        <v>0.96899999999999997</v>
      </c>
      <c r="E24" s="8" t="s">
        <v>34</v>
      </c>
      <c r="F24" s="4" t="s">
        <v>32</v>
      </c>
      <c r="O24"/>
      <c r="P24"/>
      <c r="Q24"/>
      <c r="R24"/>
      <c r="S24"/>
      <c r="T24"/>
      <c r="U24"/>
      <c r="V24"/>
      <c r="W24"/>
      <c r="X24"/>
      <c r="Y24"/>
      <c r="Z24"/>
    </row>
    <row r="25" spans="2:26" ht="18">
      <c r="B25" s="58"/>
      <c r="C25" s="9" t="s">
        <v>36</v>
      </c>
      <c r="D25" s="63">
        <f>0.81+2.293+0.71</f>
        <v>3.8130000000000002</v>
      </c>
      <c r="E25" s="8" t="s">
        <v>37</v>
      </c>
      <c r="F25" s="4" t="s">
        <v>32</v>
      </c>
      <c r="O25"/>
      <c r="P25"/>
      <c r="Q25"/>
      <c r="R25"/>
      <c r="S25"/>
      <c r="T25"/>
      <c r="U25"/>
      <c r="V25"/>
      <c r="W25"/>
      <c r="X25"/>
      <c r="Y25"/>
      <c r="Z25"/>
    </row>
    <row r="26" spans="2:26" ht="18">
      <c r="B26" s="56" t="s">
        <v>38</v>
      </c>
      <c r="C26" s="9" t="s">
        <v>39</v>
      </c>
      <c r="D26" s="23" t="s">
        <v>96</v>
      </c>
      <c r="E26" s="7" t="s">
        <v>13</v>
      </c>
      <c r="F26" s="4" t="s">
        <v>41</v>
      </c>
      <c r="O26"/>
      <c r="P26"/>
      <c r="Q26"/>
      <c r="R26"/>
      <c r="S26"/>
      <c r="T26"/>
      <c r="U26"/>
      <c r="V26"/>
      <c r="W26"/>
      <c r="X26"/>
      <c r="Y26"/>
      <c r="Z26"/>
    </row>
    <row r="27" spans="2:26" ht="18">
      <c r="B27" s="57"/>
      <c r="C27" s="9" t="s">
        <v>42</v>
      </c>
      <c r="D27" s="24">
        <v>25</v>
      </c>
      <c r="E27" s="8" t="s">
        <v>43</v>
      </c>
      <c r="F27" s="4" t="s">
        <v>44</v>
      </c>
      <c r="O27"/>
      <c r="P27"/>
      <c r="Q27"/>
      <c r="R27"/>
      <c r="S27"/>
      <c r="T27"/>
      <c r="U27"/>
      <c r="V27"/>
      <c r="W27"/>
      <c r="X27"/>
      <c r="Y27"/>
      <c r="Z27"/>
    </row>
    <row r="28" spans="2:26" ht="18">
      <c r="B28" s="57"/>
      <c r="C28" s="9" t="s">
        <v>45</v>
      </c>
      <c r="D28" s="24" t="s">
        <v>97</v>
      </c>
      <c r="E28" s="7" t="s">
        <v>13</v>
      </c>
      <c r="F28" s="4" t="s">
        <v>47</v>
      </c>
      <c r="O28"/>
      <c r="P28"/>
      <c r="Q28"/>
      <c r="R28"/>
      <c r="S28"/>
      <c r="T28"/>
      <c r="U28"/>
      <c r="V28"/>
      <c r="W28"/>
      <c r="X28"/>
      <c r="Y28"/>
      <c r="Z28"/>
    </row>
    <row r="29" spans="2:26" ht="18">
      <c r="B29" s="57"/>
      <c r="C29" s="9" t="s">
        <v>48</v>
      </c>
      <c r="D29" s="24">
        <v>1.2</v>
      </c>
      <c r="E29" s="7" t="s">
        <v>13</v>
      </c>
      <c r="F29" s="4" t="s">
        <v>44</v>
      </c>
      <c r="O29"/>
      <c r="P29"/>
      <c r="Q29"/>
      <c r="R29"/>
      <c r="S29"/>
      <c r="T29"/>
      <c r="U29"/>
      <c r="V29"/>
      <c r="W29"/>
      <c r="X29"/>
      <c r="Y29"/>
      <c r="Z29"/>
    </row>
    <row r="30" spans="2:26" ht="18">
      <c r="B30" s="57"/>
      <c r="C30" s="9" t="s">
        <v>50</v>
      </c>
      <c r="D30" s="24">
        <v>195</v>
      </c>
      <c r="E30" s="8" t="s">
        <v>51</v>
      </c>
      <c r="F30" s="4" t="s">
        <v>52</v>
      </c>
      <c r="O30"/>
      <c r="P30"/>
      <c r="Q30"/>
      <c r="R30"/>
      <c r="S30"/>
      <c r="T30"/>
      <c r="U30"/>
      <c r="V30"/>
      <c r="W30"/>
      <c r="X30"/>
      <c r="Y30"/>
      <c r="Z30"/>
    </row>
    <row r="31" spans="2:26" ht="18">
      <c r="B31" s="57"/>
      <c r="C31" s="9" t="s">
        <v>53</v>
      </c>
      <c r="D31" s="31" t="s">
        <v>49</v>
      </c>
      <c r="E31" s="7" t="s">
        <v>13</v>
      </c>
      <c r="F31" s="4" t="s">
        <v>44</v>
      </c>
      <c r="O31"/>
      <c r="P31"/>
      <c r="Q31"/>
      <c r="R31"/>
      <c r="S31"/>
      <c r="T31"/>
      <c r="U31"/>
      <c r="V31"/>
      <c r="W31"/>
      <c r="X31"/>
      <c r="Y31"/>
      <c r="Z31"/>
    </row>
    <row r="32" spans="2:26" ht="18">
      <c r="B32" s="57"/>
      <c r="C32" s="9" t="s">
        <v>54</v>
      </c>
      <c r="D32" s="31"/>
      <c r="E32" s="7" t="s">
        <v>13</v>
      </c>
      <c r="F32" s="4" t="s">
        <v>44</v>
      </c>
      <c r="O32"/>
      <c r="P32"/>
      <c r="Q32"/>
      <c r="R32"/>
      <c r="S32"/>
      <c r="T32"/>
      <c r="U32"/>
      <c r="V32"/>
      <c r="W32"/>
      <c r="X32"/>
      <c r="Y32"/>
      <c r="Z32"/>
    </row>
    <row r="33" spans="2:26" ht="18">
      <c r="B33" s="57"/>
      <c r="C33" s="9" t="s">
        <v>55</v>
      </c>
      <c r="D33" s="31" t="s">
        <v>49</v>
      </c>
      <c r="E33" s="8" t="s">
        <v>56</v>
      </c>
      <c r="F33" s="4" t="s">
        <v>44</v>
      </c>
      <c r="O33"/>
      <c r="P33"/>
      <c r="Q33"/>
      <c r="R33"/>
      <c r="S33"/>
      <c r="T33"/>
      <c r="U33"/>
      <c r="V33"/>
      <c r="W33"/>
      <c r="X33"/>
      <c r="Y33"/>
      <c r="Z33"/>
    </row>
    <row r="34" spans="2:26" ht="18">
      <c r="B34" s="58"/>
      <c r="C34" s="9" t="s">
        <v>57</v>
      </c>
      <c r="D34" s="23">
        <v>5400</v>
      </c>
      <c r="E34" s="8" t="s">
        <v>56</v>
      </c>
      <c r="F34" s="4" t="s">
        <v>44</v>
      </c>
      <c r="O34"/>
      <c r="P34"/>
      <c r="Q34"/>
      <c r="R34"/>
      <c r="S34"/>
      <c r="T34"/>
      <c r="U34"/>
      <c r="V34"/>
      <c r="W34"/>
      <c r="X34"/>
      <c r="Y34"/>
      <c r="Z34"/>
    </row>
    <row r="35" spans="2:26" ht="18">
      <c r="B35" s="52" t="s">
        <v>58</v>
      </c>
      <c r="C35" s="9" t="s">
        <v>59</v>
      </c>
      <c r="D35" s="25">
        <v>0.76</v>
      </c>
      <c r="E35" s="7" t="s">
        <v>13</v>
      </c>
      <c r="F35" s="4" t="s">
        <v>44</v>
      </c>
      <c r="O35"/>
      <c r="P35"/>
      <c r="Q35"/>
      <c r="R35"/>
      <c r="S35"/>
      <c r="T35"/>
      <c r="U35"/>
      <c r="V35"/>
      <c r="W35"/>
      <c r="X35"/>
      <c r="Y35"/>
      <c r="Z35"/>
    </row>
    <row r="36" spans="2:26" ht="18">
      <c r="B36" s="53"/>
      <c r="C36" s="9" t="s">
        <v>60</v>
      </c>
      <c r="D36" s="25">
        <v>0.71</v>
      </c>
      <c r="E36" s="7" t="s">
        <v>13</v>
      </c>
      <c r="F36" s="4" t="s">
        <v>44</v>
      </c>
      <c r="O36"/>
      <c r="P36"/>
      <c r="Q36"/>
      <c r="R36"/>
      <c r="S36"/>
      <c r="T36"/>
      <c r="U36"/>
      <c r="V36"/>
      <c r="W36"/>
      <c r="X36"/>
      <c r="Y36"/>
      <c r="Z36"/>
    </row>
    <row r="37" spans="2:26" ht="18">
      <c r="B37" s="59" t="s">
        <v>61</v>
      </c>
      <c r="C37" s="10" t="s">
        <v>62</v>
      </c>
      <c r="D37" s="26"/>
      <c r="E37" s="11" t="s">
        <v>63</v>
      </c>
      <c r="F37" s="4" t="s">
        <v>64</v>
      </c>
      <c r="O37"/>
      <c r="P37"/>
      <c r="Q37"/>
      <c r="R37"/>
      <c r="S37"/>
      <c r="T37"/>
      <c r="U37"/>
      <c r="V37"/>
      <c r="W37"/>
      <c r="X37"/>
      <c r="Y37"/>
      <c r="Z37"/>
    </row>
    <row r="38" spans="2:26" ht="18">
      <c r="B38" s="60"/>
      <c r="C38" s="10" t="s">
        <v>65</v>
      </c>
      <c r="D38" s="26"/>
      <c r="E38" s="11" t="s">
        <v>63</v>
      </c>
      <c r="F38" s="4" t="s">
        <v>66</v>
      </c>
      <c r="O38"/>
      <c r="P38"/>
      <c r="Q38"/>
      <c r="R38"/>
      <c r="S38"/>
      <c r="T38"/>
      <c r="U38"/>
      <c r="V38"/>
      <c r="W38"/>
      <c r="X38"/>
      <c r="Y38"/>
      <c r="Z38"/>
    </row>
    <row r="39" spans="2:26" ht="18">
      <c r="B39" s="60"/>
      <c r="C39" s="10" t="s">
        <v>67</v>
      </c>
      <c r="D39" s="26"/>
      <c r="E39" s="11" t="s">
        <v>63</v>
      </c>
      <c r="F39" s="4" t="s">
        <v>68</v>
      </c>
      <c r="O39"/>
      <c r="P39"/>
      <c r="Q39"/>
      <c r="R39"/>
      <c r="S39"/>
      <c r="T39"/>
      <c r="U39"/>
      <c r="V39"/>
      <c r="W39"/>
      <c r="X39"/>
      <c r="Y39"/>
      <c r="Z39"/>
    </row>
    <row r="40" spans="2:26" ht="18">
      <c r="B40" s="61"/>
      <c r="C40" s="10" t="s">
        <v>69</v>
      </c>
      <c r="D40" s="26"/>
      <c r="E40" s="11" t="s">
        <v>63</v>
      </c>
      <c r="F40" s="4" t="s">
        <v>70</v>
      </c>
      <c r="O40"/>
      <c r="P40"/>
      <c r="Q40"/>
      <c r="R40"/>
      <c r="S40"/>
      <c r="T40"/>
      <c r="U40"/>
      <c r="V40"/>
      <c r="W40"/>
      <c r="X40"/>
      <c r="Y40"/>
      <c r="Z40"/>
    </row>
    <row r="41" spans="2:26" ht="18">
      <c r="C41" s="12" t="s">
        <v>71</v>
      </c>
      <c r="D41"/>
      <c r="E41"/>
      <c r="F41"/>
      <c r="O41"/>
      <c r="P41"/>
      <c r="Q41"/>
      <c r="R41"/>
      <c r="S41"/>
      <c r="T41"/>
      <c r="U41"/>
      <c r="V41"/>
      <c r="W41"/>
      <c r="X41"/>
      <c r="Y41"/>
      <c r="Z41"/>
    </row>
    <row r="42" spans="2:26" ht="18">
      <c r="O42"/>
      <c r="P42"/>
      <c r="Q42"/>
      <c r="R42"/>
      <c r="S42"/>
      <c r="T42"/>
      <c r="U42"/>
      <c r="V42"/>
      <c r="W42"/>
      <c r="X42"/>
      <c r="Y42"/>
      <c r="Z42"/>
    </row>
    <row r="43" spans="2:26" ht="18">
      <c r="G43" s="2" t="s">
        <v>0</v>
      </c>
      <c r="O43"/>
      <c r="P43"/>
      <c r="Q43"/>
      <c r="R43"/>
      <c r="S43"/>
      <c r="T43"/>
      <c r="U43"/>
      <c r="V43"/>
      <c r="W43"/>
      <c r="X43"/>
      <c r="Y43"/>
      <c r="Z43"/>
    </row>
    <row r="44" spans="2:26" ht="19.899999999999999">
      <c r="B44" s="54" t="s">
        <v>72</v>
      </c>
      <c r="C44" s="54"/>
      <c r="D44" s="54"/>
      <c r="E44" s="54"/>
      <c r="F44" s="54"/>
      <c r="O44"/>
      <c r="P44"/>
      <c r="Q44"/>
      <c r="R44"/>
      <c r="S44"/>
      <c r="T44"/>
      <c r="U44"/>
      <c r="V44"/>
      <c r="W44"/>
      <c r="X44"/>
      <c r="Y44"/>
      <c r="Z44"/>
    </row>
    <row r="45" spans="2:26" ht="18">
      <c r="O45"/>
      <c r="P45"/>
      <c r="Q45"/>
      <c r="R45"/>
      <c r="S45"/>
      <c r="T45"/>
      <c r="U45"/>
      <c r="V45"/>
      <c r="W45"/>
      <c r="X45"/>
      <c r="Y45"/>
      <c r="Z45"/>
    </row>
    <row r="46" spans="2:26" ht="18">
      <c r="B46" s="1" t="s">
        <v>2</v>
      </c>
      <c r="O46"/>
      <c r="P46"/>
      <c r="Q46"/>
      <c r="R46"/>
      <c r="S46"/>
      <c r="T46"/>
      <c r="U46"/>
      <c r="V46"/>
      <c r="W46"/>
      <c r="X46"/>
      <c r="Y46"/>
      <c r="Z46"/>
    </row>
    <row r="47" spans="2:26" ht="18">
      <c r="F47" s="3" t="str">
        <f>F5</f>
        <v>スパークス・グリーンエナジー＆テクノロジー株式会社</v>
      </c>
      <c r="O47"/>
      <c r="P47"/>
      <c r="Q47"/>
      <c r="R47"/>
      <c r="S47"/>
      <c r="T47"/>
      <c r="U47"/>
      <c r="V47"/>
      <c r="W47"/>
      <c r="X47"/>
      <c r="Y47"/>
      <c r="Z47"/>
    </row>
    <row r="48" spans="2:26" ht="18">
      <c r="O48"/>
      <c r="P48"/>
      <c r="Q48"/>
      <c r="R48"/>
      <c r="S48"/>
      <c r="T48"/>
      <c r="U48"/>
      <c r="V48"/>
      <c r="W48"/>
      <c r="X48"/>
      <c r="Y48"/>
      <c r="Z48"/>
    </row>
    <row r="49" spans="2:26" ht="18">
      <c r="B49" s="1" t="s">
        <v>4</v>
      </c>
      <c r="O49"/>
      <c r="P49"/>
      <c r="Q49"/>
      <c r="R49"/>
      <c r="S49"/>
      <c r="T49"/>
      <c r="U49"/>
      <c r="V49"/>
      <c r="W49"/>
      <c r="X49"/>
      <c r="Y49"/>
      <c r="Z49"/>
    </row>
    <row r="50" spans="2:26" ht="12" customHeight="1">
      <c r="O50"/>
      <c r="P50"/>
      <c r="Q50"/>
      <c r="R50"/>
      <c r="S50"/>
      <c r="T50"/>
      <c r="U50"/>
      <c r="V50"/>
      <c r="W50"/>
      <c r="X50"/>
      <c r="Y50"/>
      <c r="Z50"/>
    </row>
    <row r="51" spans="2:26" ht="18">
      <c r="B51" s="4" t="s">
        <v>5</v>
      </c>
      <c r="C51" s="19">
        <f>C9</f>
        <v>46028</v>
      </c>
      <c r="D51" s="4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2:26" ht="18">
      <c r="B52" s="4" t="s">
        <v>6</v>
      </c>
      <c r="C52" s="19">
        <f>C10</f>
        <v>46053</v>
      </c>
      <c r="D52" s="4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2:26" ht="18">
      <c r="P53"/>
      <c r="Q53"/>
      <c r="R53"/>
      <c r="S53"/>
      <c r="T53"/>
      <c r="U53"/>
      <c r="V53"/>
    </row>
    <row r="54" spans="2:26" ht="18">
      <c r="P54"/>
      <c r="Q54"/>
      <c r="R54"/>
      <c r="S54"/>
      <c r="T54"/>
      <c r="U54"/>
      <c r="V54"/>
    </row>
    <row r="55" spans="2:26" ht="18">
      <c r="B55" s="1" t="s">
        <v>7</v>
      </c>
      <c r="P55"/>
      <c r="Q55"/>
      <c r="R55"/>
      <c r="S55"/>
      <c r="T55"/>
      <c r="U55"/>
      <c r="V55"/>
    </row>
    <row r="56" spans="2:26" ht="18">
      <c r="B56" s="55" t="s">
        <v>8</v>
      </c>
      <c r="C56" s="55"/>
      <c r="D56" s="55"/>
      <c r="E56" s="55"/>
      <c r="F56" s="5" t="s">
        <v>9</v>
      </c>
      <c r="P56"/>
      <c r="Q56"/>
      <c r="R56"/>
      <c r="S56"/>
      <c r="T56"/>
      <c r="U56"/>
      <c r="V56"/>
    </row>
    <row r="57" spans="2:26" ht="18">
      <c r="B57" s="56" t="s">
        <v>10</v>
      </c>
      <c r="C57" s="6" t="s">
        <v>11</v>
      </c>
      <c r="D57" s="14" t="str">
        <f>D15</f>
        <v>SGET片品メガソーラー発電所</v>
      </c>
      <c r="E57" s="7" t="s">
        <v>13</v>
      </c>
      <c r="F57" s="4"/>
      <c r="P57"/>
      <c r="Q57"/>
      <c r="R57"/>
      <c r="S57"/>
      <c r="T57"/>
      <c r="U57"/>
      <c r="V57"/>
    </row>
    <row r="58" spans="2:26" ht="18">
      <c r="B58" s="57"/>
      <c r="C58" s="6" t="s">
        <v>14</v>
      </c>
      <c r="D58" s="15" t="str">
        <f>D16</f>
        <v>群馬県利根郡片品村大字東小川4648番地</v>
      </c>
      <c r="E58" s="7" t="s">
        <v>13</v>
      </c>
      <c r="F58" s="4"/>
      <c r="P58"/>
      <c r="Q58"/>
      <c r="R58"/>
      <c r="S58"/>
      <c r="T58"/>
      <c r="U58"/>
      <c r="V58"/>
    </row>
    <row r="59" spans="2:26" ht="18">
      <c r="B59" s="57"/>
      <c r="C59" s="6" t="s">
        <v>16</v>
      </c>
      <c r="D59" s="15">
        <f>D17</f>
        <v>36.465000000000003</v>
      </c>
      <c r="E59" s="8" t="s">
        <v>17</v>
      </c>
      <c r="F59" s="4" t="s">
        <v>18</v>
      </c>
      <c r="P59"/>
      <c r="Q59"/>
      <c r="R59"/>
      <c r="S59"/>
      <c r="T59"/>
      <c r="U59"/>
      <c r="V59"/>
    </row>
    <row r="60" spans="2:26" ht="18">
      <c r="B60" s="57"/>
      <c r="C60" s="6" t="s">
        <v>19</v>
      </c>
      <c r="D60" s="15">
        <f>D18</f>
        <v>139.15270000000001</v>
      </c>
      <c r="E60" s="8" t="s">
        <v>17</v>
      </c>
      <c r="F60" s="4" t="s">
        <v>20</v>
      </c>
      <c r="P60"/>
      <c r="Q60"/>
      <c r="R60"/>
      <c r="S60"/>
      <c r="T60"/>
      <c r="U60"/>
      <c r="V60"/>
    </row>
    <row r="61" spans="2:26" ht="18">
      <c r="B61" s="58"/>
      <c r="C61" s="6" t="s">
        <v>24</v>
      </c>
      <c r="D61" s="16">
        <f>D20</f>
        <v>11495000</v>
      </c>
      <c r="E61" s="18" t="s">
        <v>25</v>
      </c>
      <c r="F61" s="4"/>
      <c r="P61"/>
      <c r="Q61"/>
      <c r="R61"/>
      <c r="S61"/>
      <c r="T61"/>
      <c r="U61"/>
      <c r="V61"/>
    </row>
    <row r="62" spans="2:26" ht="18">
      <c r="B62" s="59" t="s">
        <v>61</v>
      </c>
      <c r="C62" s="10" t="s">
        <v>62</v>
      </c>
      <c r="D62" s="17"/>
      <c r="E62" s="11" t="s">
        <v>63</v>
      </c>
      <c r="F62" s="4" t="s">
        <v>64</v>
      </c>
      <c r="P62"/>
      <c r="Q62"/>
      <c r="R62"/>
      <c r="S62"/>
      <c r="T62"/>
      <c r="U62"/>
      <c r="V62"/>
    </row>
    <row r="63" spans="2:26">
      <c r="B63" s="60"/>
      <c r="C63" s="10" t="s">
        <v>65</v>
      </c>
      <c r="D63" s="17"/>
      <c r="E63" s="11" t="s">
        <v>63</v>
      </c>
      <c r="F63" s="4" t="s">
        <v>66</v>
      </c>
    </row>
    <row r="64" spans="2:26">
      <c r="B64" s="60"/>
      <c r="C64" s="10" t="s">
        <v>67</v>
      </c>
      <c r="D64" s="17"/>
      <c r="E64" s="11" t="s">
        <v>63</v>
      </c>
      <c r="F64" s="4" t="s">
        <v>68</v>
      </c>
    </row>
    <row r="65" spans="2:9">
      <c r="B65" s="61"/>
      <c r="C65" s="10" t="s">
        <v>69</v>
      </c>
      <c r="D65" s="17"/>
      <c r="E65" s="11" t="s">
        <v>63</v>
      </c>
      <c r="F65" s="4" t="s">
        <v>70</v>
      </c>
    </row>
    <row r="66" spans="2:9" ht="18">
      <c r="C66" s="12"/>
      <c r="D66"/>
      <c r="E66"/>
      <c r="F66"/>
    </row>
    <row r="68" spans="2:9" ht="18">
      <c r="B68"/>
      <c r="C68"/>
      <c r="D68"/>
      <c r="E68"/>
      <c r="F68"/>
      <c r="H68"/>
      <c r="I68"/>
    </row>
    <row r="69" spans="2:9" ht="18">
      <c r="B69"/>
      <c r="C69"/>
      <c r="D69"/>
      <c r="E69"/>
      <c r="F69"/>
      <c r="H69"/>
      <c r="I69"/>
    </row>
    <row r="70" spans="2:9" ht="18">
      <c r="C70"/>
      <c r="D70"/>
      <c r="E70"/>
      <c r="F70"/>
      <c r="G70" s="13"/>
      <c r="H70"/>
      <c r="I70"/>
    </row>
    <row r="71" spans="2:9" ht="18">
      <c r="C71"/>
      <c r="D71"/>
      <c r="E71"/>
      <c r="F71"/>
      <c r="G71" s="13"/>
      <c r="H71"/>
      <c r="I71"/>
    </row>
    <row r="72" spans="2:9" ht="18">
      <c r="C72"/>
      <c r="D72"/>
      <c r="E72"/>
      <c r="F72"/>
      <c r="G72" s="13"/>
      <c r="H72"/>
      <c r="I72"/>
    </row>
    <row r="73" spans="2:9" ht="18">
      <c r="C73"/>
      <c r="D73"/>
      <c r="E73"/>
      <c r="F73"/>
      <c r="G73" s="13"/>
      <c r="H73"/>
      <c r="I73"/>
    </row>
    <row r="74" spans="2:9" ht="18">
      <c r="C74"/>
      <c r="D74"/>
      <c r="E74"/>
      <c r="F74"/>
      <c r="G74" s="13"/>
      <c r="H74"/>
      <c r="I74"/>
    </row>
    <row r="75" spans="2:9" ht="18">
      <c r="C75"/>
      <c r="D75"/>
      <c r="E75"/>
      <c r="F75"/>
      <c r="G75" s="13"/>
      <c r="H75"/>
      <c r="I75"/>
    </row>
    <row r="76" spans="2:9" ht="18">
      <c r="C76"/>
      <c r="D76"/>
      <c r="E76"/>
      <c r="F76"/>
    </row>
    <row r="77" spans="2:9" ht="18">
      <c r="C77"/>
      <c r="D77"/>
      <c r="E77"/>
      <c r="F77"/>
    </row>
    <row r="78" spans="2:9" ht="18">
      <c r="C78"/>
      <c r="D78"/>
      <c r="E78"/>
      <c r="F78"/>
    </row>
    <row r="79" spans="2:9" ht="18">
      <c r="C79"/>
      <c r="D79"/>
      <c r="E79"/>
      <c r="F79"/>
    </row>
    <row r="80" spans="2:9" ht="18">
      <c r="C80"/>
      <c r="D80"/>
      <c r="E80"/>
      <c r="F80"/>
    </row>
    <row r="81" spans="2:6" ht="18">
      <c r="C81"/>
      <c r="D81"/>
      <c r="E81"/>
      <c r="F81"/>
    </row>
    <row r="82" spans="2:6" ht="18">
      <c r="C82"/>
      <c r="D82"/>
      <c r="E82"/>
      <c r="F82"/>
    </row>
    <row r="83" spans="2:6" ht="18">
      <c r="C83"/>
      <c r="D83"/>
      <c r="E83"/>
      <c r="F83"/>
    </row>
    <row r="84" spans="2:6" ht="18">
      <c r="C84"/>
      <c r="D84"/>
      <c r="E84"/>
      <c r="F84"/>
    </row>
    <row r="85" spans="2:6" ht="18">
      <c r="C85"/>
      <c r="D85"/>
      <c r="E85"/>
      <c r="F85"/>
    </row>
    <row r="86" spans="2:6" ht="18">
      <c r="C86"/>
      <c r="D86"/>
      <c r="E86"/>
      <c r="F86"/>
    </row>
    <row r="87" spans="2:6" ht="18">
      <c r="C87"/>
      <c r="D87"/>
      <c r="E87"/>
      <c r="F87"/>
    </row>
    <row r="88" spans="2:6" ht="18">
      <c r="C88"/>
      <c r="D88"/>
      <c r="E88"/>
      <c r="F88"/>
    </row>
    <row r="89" spans="2:6" ht="18">
      <c r="C89"/>
      <c r="D89"/>
      <c r="E89"/>
      <c r="F89"/>
    </row>
    <row r="90" spans="2:6" ht="18">
      <c r="C90"/>
      <c r="D90"/>
      <c r="E90"/>
      <c r="F90"/>
    </row>
    <row r="91" spans="2:6" ht="18">
      <c r="C91"/>
      <c r="D91"/>
      <c r="E91"/>
      <c r="F91"/>
    </row>
    <row r="92" spans="2:6" ht="18">
      <c r="C92"/>
      <c r="D92"/>
      <c r="E92"/>
      <c r="F92"/>
    </row>
    <row r="93" spans="2:6" ht="18">
      <c r="C93"/>
      <c r="D93"/>
      <c r="E93"/>
      <c r="F93"/>
    </row>
    <row r="94" spans="2:6" ht="18">
      <c r="C94"/>
      <c r="D94"/>
      <c r="E94"/>
      <c r="F94"/>
    </row>
    <row r="95" spans="2:6" ht="18">
      <c r="C95"/>
      <c r="D95"/>
      <c r="E95"/>
      <c r="F95"/>
    </row>
    <row r="96" spans="2:6" ht="18">
      <c r="B96"/>
      <c r="C96"/>
      <c r="D96"/>
      <c r="E96"/>
      <c r="F96"/>
    </row>
    <row r="97" spans="2:6" ht="13.5" customHeight="1">
      <c r="B97"/>
      <c r="C97"/>
      <c r="D97"/>
      <c r="E97"/>
      <c r="F97"/>
    </row>
    <row r="98" spans="2:6" ht="18">
      <c r="B98"/>
      <c r="C98"/>
      <c r="D98"/>
      <c r="E98"/>
      <c r="F98"/>
    </row>
    <row r="99" spans="2:6" ht="18">
      <c r="B99"/>
      <c r="C99"/>
      <c r="D99"/>
      <c r="E99"/>
      <c r="F99"/>
    </row>
    <row r="100" spans="2:6" ht="18">
      <c r="B100"/>
      <c r="C100"/>
      <c r="D100"/>
      <c r="E100"/>
      <c r="F100"/>
    </row>
    <row r="101" spans="2:6" ht="18">
      <c r="B101"/>
      <c r="C101"/>
      <c r="D101"/>
      <c r="E101"/>
      <c r="F101"/>
    </row>
    <row r="102" spans="2:6" ht="18">
      <c r="B102"/>
      <c r="C102"/>
      <c r="D102"/>
      <c r="E102"/>
      <c r="F102"/>
    </row>
    <row r="103" spans="2:6" ht="18">
      <c r="B103"/>
      <c r="C103"/>
      <c r="D103"/>
      <c r="E103"/>
      <c r="F103"/>
    </row>
    <row r="104" spans="2:6" ht="18">
      <c r="B104"/>
      <c r="C104"/>
      <c r="D104"/>
      <c r="E104"/>
      <c r="F104"/>
    </row>
    <row r="105" spans="2:6" ht="18">
      <c r="B105"/>
      <c r="C105"/>
      <c r="D105"/>
      <c r="E105"/>
      <c r="F105"/>
    </row>
  </sheetData>
  <mergeCells count="11">
    <mergeCell ref="B37:B40"/>
    <mergeCell ref="B44:F44"/>
    <mergeCell ref="B56:E56"/>
    <mergeCell ref="B57:B61"/>
    <mergeCell ref="B62:B65"/>
    <mergeCell ref="B35:B36"/>
    <mergeCell ref="B2:F2"/>
    <mergeCell ref="B14:E14"/>
    <mergeCell ref="B15:B20"/>
    <mergeCell ref="B21:B25"/>
    <mergeCell ref="B26:B34"/>
  </mergeCells>
  <phoneticPr fontId="3"/>
  <dataValidations count="3">
    <dataValidation type="list" allowBlank="1" showInputMessage="1" showErrorMessage="1" sqref="D28" xr:uid="{0044381D-C30C-4704-B045-D53379ACA3C1}">
      <formula1>"Ⅰ,Ⅱ,Ⅲ,Ⅳ"</formula1>
    </dataValidation>
    <dataValidation type="list" allowBlank="1" showInputMessage="1" showErrorMessage="1" sqref="D21" xr:uid="{612BCD23-E89D-4DC0-9152-C9D8FB227688}">
      <formula1>"極めて重要,通常"</formula1>
    </dataValidation>
    <dataValidation type="list" allowBlank="1" showInputMessage="1" showErrorMessage="1" sqref="D26" xr:uid="{698A25E1-0305-434A-AB1E-C6DEAA174B2E}">
      <formula1>"JIS-C8955(2004年版),JIS-C8955(2017年版),NEDOガイドライン(2019年版)"</formula1>
    </dataValidation>
  </dataValidations>
  <pageMargins left="0.25" right="0.25" top="0.75" bottom="0.75" header="0.3" footer="0.3"/>
  <pageSetup paperSize="9" scale="59" orientation="portrait" r:id="rId1"/>
  <colBreaks count="1" manualBreakCount="1">
    <brk id="1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5C40-0C53-420F-B00F-4A10E73206AC}">
  <sheetPr>
    <tabColor rgb="FF00B050"/>
    <pageSetUpPr fitToPage="1"/>
  </sheetPr>
  <dimension ref="B1:Z105"/>
  <sheetViews>
    <sheetView showOutlineSymbols="0" view="pageBreakPreview" topLeftCell="A19" zoomScale="80" zoomScaleNormal="100" zoomScaleSheetLayoutView="80" workbookViewId="0">
      <selection activeCell="D25" sqref="D25"/>
    </sheetView>
  </sheetViews>
  <sheetFormatPr defaultColWidth="9" defaultRowHeight="16.149999999999999"/>
  <cols>
    <col min="1" max="1" width="7.125" style="1" customWidth="1"/>
    <col min="2" max="2" width="10.75" style="1" customWidth="1"/>
    <col min="3" max="3" width="24.25" style="1" customWidth="1"/>
    <col min="4" max="4" width="25.875" style="1" bestFit="1" customWidth="1"/>
    <col min="5" max="5" width="6.375" style="1" customWidth="1"/>
    <col min="6" max="6" width="61.75" style="1" customWidth="1"/>
    <col min="7" max="7" width="8.25" style="1" customWidth="1"/>
    <col min="8" max="15" width="10.75" style="1" customWidth="1"/>
    <col min="16" max="17" width="9" style="1"/>
    <col min="18" max="18" width="10.75" style="1" bestFit="1" customWidth="1"/>
    <col min="19" max="20" width="10.5" style="1" customWidth="1"/>
    <col min="21" max="16384" width="9" style="1"/>
  </cols>
  <sheetData>
    <row r="1" spans="2:26">
      <c r="G1" s="2" t="s">
        <v>0</v>
      </c>
    </row>
    <row r="2" spans="2:26" ht="19.899999999999999">
      <c r="B2" s="54" t="s">
        <v>1</v>
      </c>
      <c r="C2" s="54"/>
      <c r="D2" s="54"/>
      <c r="E2" s="54"/>
      <c r="F2" s="54"/>
    </row>
    <row r="4" spans="2:26">
      <c r="B4" s="1" t="s">
        <v>2</v>
      </c>
    </row>
    <row r="5" spans="2:26">
      <c r="F5" s="3" t="s">
        <v>3</v>
      </c>
    </row>
    <row r="7" spans="2:26">
      <c r="B7" s="1" t="s">
        <v>4</v>
      </c>
    </row>
    <row r="9" spans="2:26">
      <c r="B9" s="4" t="s">
        <v>5</v>
      </c>
      <c r="C9" s="19">
        <v>46028</v>
      </c>
      <c r="D9" s="4"/>
    </row>
    <row r="10" spans="2:26">
      <c r="B10" s="4" t="s">
        <v>6</v>
      </c>
      <c r="C10" s="19">
        <v>46053</v>
      </c>
      <c r="D10" s="4"/>
    </row>
    <row r="13" spans="2:26" ht="18">
      <c r="B13" s="1" t="s">
        <v>7</v>
      </c>
      <c r="O13"/>
      <c r="P13"/>
      <c r="Q13"/>
      <c r="R13"/>
      <c r="S13"/>
      <c r="T13"/>
      <c r="U13"/>
      <c r="V13"/>
      <c r="W13"/>
      <c r="X13"/>
      <c r="Y13"/>
      <c r="Z13"/>
    </row>
    <row r="14" spans="2:26" ht="18">
      <c r="B14" s="55" t="s">
        <v>8</v>
      </c>
      <c r="C14" s="55"/>
      <c r="D14" s="55"/>
      <c r="E14" s="55"/>
      <c r="F14" s="5" t="s">
        <v>9</v>
      </c>
      <c r="O14"/>
      <c r="P14"/>
      <c r="Q14"/>
      <c r="R14"/>
      <c r="S14"/>
      <c r="T14"/>
      <c r="U14"/>
      <c r="V14"/>
      <c r="W14"/>
      <c r="X14"/>
      <c r="Y14"/>
      <c r="Z14"/>
    </row>
    <row r="15" spans="2:26" ht="18">
      <c r="B15" s="56" t="s">
        <v>10</v>
      </c>
      <c r="C15" s="6" t="s">
        <v>11</v>
      </c>
      <c r="D15" s="14" t="s">
        <v>144</v>
      </c>
      <c r="E15" s="7" t="s">
        <v>13</v>
      </c>
      <c r="F15" s="4"/>
      <c r="O15"/>
      <c r="P15"/>
      <c r="Q15"/>
      <c r="R15"/>
      <c r="S15"/>
      <c r="T15"/>
      <c r="U15"/>
      <c r="V15"/>
      <c r="W15"/>
      <c r="X15"/>
      <c r="Y15"/>
      <c r="Z15"/>
    </row>
    <row r="16" spans="2:26" ht="18">
      <c r="B16" s="57"/>
      <c r="C16" s="6" t="s">
        <v>14</v>
      </c>
      <c r="D16" s="15" t="s">
        <v>145</v>
      </c>
      <c r="E16" s="7" t="s">
        <v>13</v>
      </c>
      <c r="F16" s="4"/>
      <c r="O16"/>
      <c r="P16"/>
      <c r="Q16"/>
      <c r="R16"/>
      <c r="S16"/>
      <c r="T16"/>
      <c r="U16"/>
      <c r="V16"/>
      <c r="W16"/>
      <c r="X16"/>
      <c r="Y16"/>
      <c r="Z16"/>
    </row>
    <row r="17" spans="2:26" ht="18">
      <c r="B17" s="57"/>
      <c r="C17" s="6" t="s">
        <v>16</v>
      </c>
      <c r="D17" s="15">
        <v>36.465000000000003</v>
      </c>
      <c r="E17" s="8" t="s">
        <v>17</v>
      </c>
      <c r="F17" s="4" t="s">
        <v>18</v>
      </c>
      <c r="O17"/>
      <c r="P17"/>
      <c r="Q17"/>
      <c r="R17"/>
      <c r="S17"/>
      <c r="T17"/>
      <c r="U17"/>
      <c r="V17"/>
      <c r="W17"/>
      <c r="X17"/>
      <c r="Y17"/>
      <c r="Z17"/>
    </row>
    <row r="18" spans="2:26" ht="18">
      <c r="B18" s="57"/>
      <c r="C18" s="6" t="s">
        <v>19</v>
      </c>
      <c r="D18" s="15">
        <v>139.15270000000001</v>
      </c>
      <c r="E18" s="8" t="s">
        <v>17</v>
      </c>
      <c r="F18" s="4" t="s">
        <v>20</v>
      </c>
      <c r="O18"/>
      <c r="P18"/>
      <c r="Q18"/>
      <c r="R18"/>
      <c r="S18"/>
      <c r="T18"/>
      <c r="U18"/>
      <c r="V18"/>
      <c r="W18"/>
      <c r="X18"/>
      <c r="Y18"/>
      <c r="Z18"/>
    </row>
    <row r="19" spans="2:26" ht="18">
      <c r="B19" s="57"/>
      <c r="C19" s="6" t="s">
        <v>21</v>
      </c>
      <c r="D19" s="27">
        <v>44256</v>
      </c>
      <c r="E19" s="7" t="s">
        <v>22</v>
      </c>
      <c r="F19" s="4" t="s">
        <v>23</v>
      </c>
      <c r="O19"/>
      <c r="P19"/>
      <c r="Q19"/>
      <c r="R19"/>
      <c r="S19"/>
      <c r="T19"/>
      <c r="U19"/>
      <c r="V19"/>
      <c r="W19"/>
      <c r="X19"/>
      <c r="Y19"/>
      <c r="Z19"/>
    </row>
    <row r="20" spans="2:26" ht="18">
      <c r="B20" s="58"/>
      <c r="C20" s="6" t="s">
        <v>24</v>
      </c>
      <c r="D20" s="20">
        <v>11495000</v>
      </c>
      <c r="E20" s="18" t="s">
        <v>25</v>
      </c>
      <c r="F20" s="4"/>
      <c r="O20"/>
      <c r="P20"/>
      <c r="Q20"/>
      <c r="R20"/>
      <c r="S20"/>
      <c r="T20"/>
      <c r="U20"/>
      <c r="V20"/>
      <c r="W20"/>
      <c r="X20"/>
      <c r="Y20"/>
      <c r="Z20"/>
    </row>
    <row r="21" spans="2:26" ht="18">
      <c r="B21" s="56" t="s">
        <v>26</v>
      </c>
      <c r="C21" s="6" t="s">
        <v>27</v>
      </c>
      <c r="D21" s="21" t="s">
        <v>28</v>
      </c>
      <c r="E21" s="7" t="s">
        <v>13</v>
      </c>
      <c r="F21" s="4" t="s">
        <v>29</v>
      </c>
      <c r="O21"/>
      <c r="P21"/>
      <c r="Q21"/>
      <c r="R21"/>
      <c r="S21"/>
      <c r="T21"/>
      <c r="U21"/>
      <c r="V21"/>
      <c r="W21"/>
      <c r="X21"/>
      <c r="Y21"/>
      <c r="Z21"/>
    </row>
    <row r="22" spans="2:26" ht="18">
      <c r="B22" s="57"/>
      <c r="C22" s="9" t="s">
        <v>30</v>
      </c>
      <c r="D22" s="21">
        <v>25</v>
      </c>
      <c r="E22" s="8" t="s">
        <v>31</v>
      </c>
      <c r="F22" s="4" t="s">
        <v>32</v>
      </c>
      <c r="O22"/>
      <c r="P22"/>
      <c r="Q22"/>
      <c r="R22"/>
      <c r="S22"/>
      <c r="T22"/>
      <c r="U22"/>
      <c r="V22"/>
      <c r="W22"/>
      <c r="X22"/>
      <c r="Y22"/>
      <c r="Z22"/>
    </row>
    <row r="23" spans="2:26" ht="18">
      <c r="B23" s="57"/>
      <c r="C23" s="9" t="s">
        <v>33</v>
      </c>
      <c r="D23" s="22">
        <f>(2.7229-0.969)/2+0.969</f>
        <v>1.8459500000000002</v>
      </c>
      <c r="E23" s="8" t="s">
        <v>34</v>
      </c>
      <c r="F23" s="4" t="s">
        <v>32</v>
      </c>
      <c r="O23"/>
      <c r="P23"/>
      <c r="Q23"/>
      <c r="R23"/>
      <c r="S23"/>
      <c r="T23"/>
      <c r="U23"/>
      <c r="V23"/>
      <c r="W23"/>
      <c r="X23"/>
      <c r="Y23"/>
      <c r="Z23"/>
    </row>
    <row r="24" spans="2:26" ht="18">
      <c r="B24" s="57"/>
      <c r="C24" s="9" t="s">
        <v>35</v>
      </c>
      <c r="D24" s="22">
        <v>0.96899999999999997</v>
      </c>
      <c r="E24" s="8" t="s">
        <v>34</v>
      </c>
      <c r="F24" s="4" t="s">
        <v>32</v>
      </c>
      <c r="O24"/>
      <c r="P24"/>
      <c r="Q24"/>
      <c r="R24"/>
      <c r="S24"/>
      <c r="T24"/>
      <c r="U24"/>
      <c r="V24"/>
      <c r="W24"/>
      <c r="X24"/>
      <c r="Y24"/>
      <c r="Z24"/>
    </row>
    <row r="25" spans="2:26" ht="18">
      <c r="B25" s="58"/>
      <c r="C25" s="9" t="s">
        <v>36</v>
      </c>
      <c r="D25" s="63">
        <f>0.81+2.293+0.71</f>
        <v>3.8130000000000002</v>
      </c>
      <c r="E25" s="8" t="s">
        <v>37</v>
      </c>
      <c r="F25" s="4" t="s">
        <v>32</v>
      </c>
      <c r="O25"/>
      <c r="P25"/>
      <c r="Q25"/>
      <c r="R25"/>
      <c r="S25"/>
      <c r="T25"/>
      <c r="U25"/>
      <c r="V25"/>
      <c r="W25"/>
      <c r="X25"/>
      <c r="Y25"/>
      <c r="Z25"/>
    </row>
    <row r="26" spans="2:26" ht="18">
      <c r="B26" s="56" t="s">
        <v>38</v>
      </c>
      <c r="C26" s="9" t="s">
        <v>39</v>
      </c>
      <c r="D26" s="23" t="s">
        <v>96</v>
      </c>
      <c r="E26" s="7" t="s">
        <v>13</v>
      </c>
      <c r="F26" s="4" t="s">
        <v>41</v>
      </c>
      <c r="O26"/>
      <c r="P26"/>
      <c r="Q26"/>
      <c r="R26"/>
      <c r="S26"/>
      <c r="T26"/>
      <c r="U26"/>
      <c r="V26"/>
      <c r="W26"/>
      <c r="X26"/>
      <c r="Y26"/>
      <c r="Z26"/>
    </row>
    <row r="27" spans="2:26" ht="18">
      <c r="B27" s="57"/>
      <c r="C27" s="9" t="s">
        <v>42</v>
      </c>
      <c r="D27" s="24">
        <v>25</v>
      </c>
      <c r="E27" s="8" t="s">
        <v>43</v>
      </c>
      <c r="F27" s="4" t="s">
        <v>44</v>
      </c>
      <c r="O27"/>
      <c r="P27"/>
      <c r="Q27"/>
      <c r="R27"/>
      <c r="S27"/>
      <c r="T27"/>
      <c r="U27"/>
      <c r="V27"/>
      <c r="W27"/>
      <c r="X27"/>
      <c r="Y27"/>
      <c r="Z27"/>
    </row>
    <row r="28" spans="2:26" ht="18">
      <c r="B28" s="57"/>
      <c r="C28" s="9" t="s">
        <v>45</v>
      </c>
      <c r="D28" s="24" t="s">
        <v>97</v>
      </c>
      <c r="E28" s="7" t="s">
        <v>13</v>
      </c>
      <c r="F28" s="4" t="s">
        <v>47</v>
      </c>
      <c r="O28"/>
      <c r="P28"/>
      <c r="Q28"/>
      <c r="R28"/>
      <c r="S28"/>
      <c r="T28"/>
      <c r="U28"/>
      <c r="V28"/>
      <c r="W28"/>
      <c r="X28"/>
      <c r="Y28"/>
      <c r="Z28"/>
    </row>
    <row r="29" spans="2:26" ht="18">
      <c r="B29" s="57"/>
      <c r="C29" s="9" t="s">
        <v>48</v>
      </c>
      <c r="D29" s="24">
        <v>1.2</v>
      </c>
      <c r="E29" s="7" t="s">
        <v>13</v>
      </c>
      <c r="F29" s="4" t="s">
        <v>44</v>
      </c>
      <c r="O29"/>
      <c r="P29"/>
      <c r="Q29"/>
      <c r="R29"/>
      <c r="S29"/>
      <c r="T29"/>
      <c r="U29"/>
      <c r="V29"/>
      <c r="W29"/>
      <c r="X29"/>
      <c r="Y29"/>
      <c r="Z29"/>
    </row>
    <row r="30" spans="2:26" ht="18">
      <c r="B30" s="57"/>
      <c r="C30" s="9" t="s">
        <v>50</v>
      </c>
      <c r="D30" s="24">
        <v>195</v>
      </c>
      <c r="E30" s="8" t="s">
        <v>51</v>
      </c>
      <c r="F30" s="4" t="s">
        <v>52</v>
      </c>
      <c r="O30"/>
      <c r="P30"/>
      <c r="Q30"/>
      <c r="R30"/>
      <c r="S30"/>
      <c r="T30"/>
      <c r="U30"/>
      <c r="V30"/>
      <c r="W30"/>
      <c r="X30"/>
      <c r="Y30"/>
      <c r="Z30"/>
    </row>
    <row r="31" spans="2:26" ht="18">
      <c r="B31" s="57"/>
      <c r="C31" s="9" t="s">
        <v>53</v>
      </c>
      <c r="D31" s="31"/>
      <c r="E31" s="7" t="s">
        <v>13</v>
      </c>
      <c r="F31" s="4" t="s">
        <v>44</v>
      </c>
      <c r="O31"/>
      <c r="P31"/>
      <c r="Q31"/>
      <c r="R31"/>
      <c r="S31"/>
      <c r="T31"/>
      <c r="U31"/>
      <c r="V31"/>
      <c r="W31"/>
      <c r="X31"/>
      <c r="Y31"/>
      <c r="Z31"/>
    </row>
    <row r="32" spans="2:26" ht="18">
      <c r="B32" s="57"/>
      <c r="C32" s="9" t="s">
        <v>54</v>
      </c>
      <c r="D32" s="31"/>
      <c r="E32" s="7" t="s">
        <v>13</v>
      </c>
      <c r="F32" s="4" t="s">
        <v>44</v>
      </c>
      <c r="O32"/>
      <c r="P32"/>
      <c r="Q32"/>
      <c r="R32"/>
      <c r="S32"/>
      <c r="T32"/>
      <c r="U32"/>
      <c r="V32"/>
      <c r="W32"/>
      <c r="X32"/>
      <c r="Y32"/>
      <c r="Z32"/>
    </row>
    <row r="33" spans="2:26" ht="18">
      <c r="B33" s="57"/>
      <c r="C33" s="9" t="s">
        <v>55</v>
      </c>
      <c r="D33" s="31"/>
      <c r="E33" s="8" t="s">
        <v>56</v>
      </c>
      <c r="F33" s="4" t="s">
        <v>44</v>
      </c>
      <c r="O33"/>
      <c r="P33"/>
      <c r="Q33"/>
      <c r="R33"/>
      <c r="S33"/>
      <c r="T33"/>
      <c r="U33"/>
      <c r="V33"/>
      <c r="W33"/>
      <c r="X33"/>
      <c r="Y33"/>
      <c r="Z33"/>
    </row>
    <row r="34" spans="2:26" ht="18">
      <c r="B34" s="58"/>
      <c r="C34" s="9" t="s">
        <v>57</v>
      </c>
      <c r="D34" s="23">
        <v>5400</v>
      </c>
      <c r="E34" s="8" t="s">
        <v>56</v>
      </c>
      <c r="F34" s="4" t="s">
        <v>44</v>
      </c>
      <c r="O34"/>
      <c r="P34"/>
      <c r="Q34"/>
      <c r="R34"/>
      <c r="S34"/>
      <c r="T34"/>
      <c r="U34"/>
      <c r="V34"/>
      <c r="W34"/>
      <c r="X34"/>
      <c r="Y34"/>
      <c r="Z34"/>
    </row>
    <row r="35" spans="2:26" ht="18">
      <c r="B35" s="52" t="s">
        <v>58</v>
      </c>
      <c r="C35" s="9" t="s">
        <v>59</v>
      </c>
      <c r="D35" s="25">
        <v>0.93</v>
      </c>
      <c r="E35" s="7" t="s">
        <v>13</v>
      </c>
      <c r="F35" s="4" t="s">
        <v>44</v>
      </c>
      <c r="O35"/>
      <c r="P35"/>
      <c r="Q35"/>
      <c r="R35"/>
      <c r="S35"/>
      <c r="T35"/>
      <c r="U35"/>
      <c r="V35"/>
      <c r="W35"/>
      <c r="X35"/>
      <c r="Y35"/>
      <c r="Z35"/>
    </row>
    <row r="36" spans="2:26" ht="18">
      <c r="B36" s="53"/>
      <c r="C36" s="9" t="s">
        <v>60</v>
      </c>
      <c r="D36" s="25">
        <v>0.87</v>
      </c>
      <c r="E36" s="7" t="s">
        <v>13</v>
      </c>
      <c r="F36" s="4" t="s">
        <v>44</v>
      </c>
      <c r="O36"/>
      <c r="P36"/>
      <c r="Q36"/>
      <c r="R36"/>
      <c r="S36"/>
      <c r="T36"/>
      <c r="U36"/>
      <c r="V36"/>
      <c r="W36"/>
      <c r="X36"/>
      <c r="Y36"/>
      <c r="Z36"/>
    </row>
    <row r="37" spans="2:26" ht="18">
      <c r="B37" s="59" t="s">
        <v>61</v>
      </c>
      <c r="C37" s="10" t="s">
        <v>62</v>
      </c>
      <c r="D37" s="26"/>
      <c r="E37" s="11" t="s">
        <v>63</v>
      </c>
      <c r="F37" s="4" t="s">
        <v>64</v>
      </c>
      <c r="O37"/>
      <c r="P37"/>
      <c r="Q37"/>
      <c r="R37"/>
      <c r="S37"/>
      <c r="T37"/>
      <c r="U37"/>
      <c r="V37"/>
      <c r="W37"/>
      <c r="X37"/>
      <c r="Y37"/>
      <c r="Z37"/>
    </row>
    <row r="38" spans="2:26" ht="18">
      <c r="B38" s="60"/>
      <c r="C38" s="10" t="s">
        <v>65</v>
      </c>
      <c r="D38" s="26"/>
      <c r="E38" s="11" t="s">
        <v>63</v>
      </c>
      <c r="F38" s="4" t="s">
        <v>66</v>
      </c>
      <c r="O38"/>
      <c r="P38"/>
      <c r="Q38"/>
      <c r="R38"/>
      <c r="S38"/>
      <c r="T38"/>
      <c r="U38"/>
      <c r="V38"/>
      <c r="W38"/>
      <c r="X38"/>
      <c r="Y38"/>
      <c r="Z38"/>
    </row>
    <row r="39" spans="2:26" ht="18">
      <c r="B39" s="60"/>
      <c r="C39" s="10" t="s">
        <v>67</v>
      </c>
      <c r="D39" s="26"/>
      <c r="E39" s="11" t="s">
        <v>63</v>
      </c>
      <c r="F39" s="4" t="s">
        <v>68</v>
      </c>
      <c r="O39"/>
      <c r="P39"/>
      <c r="Q39"/>
      <c r="R39"/>
      <c r="S39"/>
      <c r="T39"/>
      <c r="U39"/>
      <c r="V39"/>
      <c r="W39"/>
      <c r="X39"/>
      <c r="Y39"/>
      <c r="Z39"/>
    </row>
    <row r="40" spans="2:26" ht="18">
      <c r="B40" s="61"/>
      <c r="C40" s="10" t="s">
        <v>69</v>
      </c>
      <c r="D40" s="26"/>
      <c r="E40" s="11" t="s">
        <v>63</v>
      </c>
      <c r="F40" s="4" t="s">
        <v>70</v>
      </c>
      <c r="O40"/>
      <c r="P40"/>
      <c r="Q40"/>
      <c r="R40"/>
      <c r="S40"/>
      <c r="T40"/>
      <c r="U40"/>
      <c r="V40"/>
      <c r="W40"/>
      <c r="X40"/>
      <c r="Y40"/>
      <c r="Z40"/>
    </row>
    <row r="41" spans="2:26" ht="18">
      <c r="C41" s="12" t="s">
        <v>71</v>
      </c>
      <c r="D41"/>
      <c r="E41"/>
      <c r="F41"/>
      <c r="O41"/>
      <c r="P41"/>
      <c r="Q41"/>
      <c r="R41"/>
      <c r="S41"/>
      <c r="T41"/>
      <c r="U41"/>
      <c r="V41"/>
      <c r="W41"/>
      <c r="X41"/>
      <c r="Y41"/>
      <c r="Z41"/>
    </row>
    <row r="42" spans="2:26" ht="18">
      <c r="O42"/>
      <c r="P42"/>
      <c r="Q42"/>
      <c r="R42"/>
      <c r="S42"/>
      <c r="T42"/>
      <c r="U42"/>
      <c r="V42"/>
      <c r="W42"/>
      <c r="X42"/>
      <c r="Y42"/>
      <c r="Z42"/>
    </row>
    <row r="43" spans="2:26" ht="18">
      <c r="G43" s="2" t="s">
        <v>0</v>
      </c>
      <c r="O43"/>
      <c r="P43"/>
      <c r="Q43"/>
      <c r="R43"/>
      <c r="S43"/>
      <c r="T43"/>
      <c r="U43"/>
      <c r="V43"/>
      <c r="W43"/>
      <c r="X43"/>
      <c r="Y43"/>
      <c r="Z43"/>
    </row>
    <row r="44" spans="2:26" ht="19.899999999999999">
      <c r="B44" s="54" t="s">
        <v>72</v>
      </c>
      <c r="C44" s="54"/>
      <c r="D44" s="54"/>
      <c r="E44" s="54"/>
      <c r="F44" s="54"/>
      <c r="O44"/>
      <c r="P44"/>
      <c r="Q44"/>
      <c r="R44"/>
      <c r="S44"/>
      <c r="T44"/>
      <c r="U44"/>
      <c r="V44"/>
      <c r="W44"/>
      <c r="X44"/>
      <c r="Y44"/>
      <c r="Z44"/>
    </row>
    <row r="45" spans="2:26" ht="18">
      <c r="O45"/>
      <c r="P45"/>
      <c r="Q45"/>
      <c r="R45"/>
      <c r="S45"/>
      <c r="T45"/>
      <c r="U45"/>
      <c r="V45"/>
      <c r="W45"/>
      <c r="X45"/>
      <c r="Y45"/>
      <c r="Z45"/>
    </row>
    <row r="46" spans="2:26" ht="18">
      <c r="B46" s="1" t="s">
        <v>2</v>
      </c>
      <c r="O46"/>
      <c r="P46"/>
      <c r="Q46"/>
      <c r="R46"/>
      <c r="S46"/>
      <c r="T46"/>
      <c r="U46"/>
      <c r="V46"/>
      <c r="W46"/>
      <c r="X46"/>
      <c r="Y46"/>
      <c r="Z46"/>
    </row>
    <row r="47" spans="2:26" ht="18">
      <c r="F47" s="3" t="str">
        <f>F5</f>
        <v>スパークス・グリーンエナジー＆テクノロジー株式会社</v>
      </c>
      <c r="O47"/>
      <c r="P47"/>
      <c r="Q47"/>
      <c r="R47"/>
      <c r="S47"/>
      <c r="T47"/>
      <c r="U47"/>
      <c r="V47"/>
      <c r="W47"/>
      <c r="X47"/>
      <c r="Y47"/>
      <c r="Z47"/>
    </row>
    <row r="48" spans="2:26" ht="18">
      <c r="O48"/>
      <c r="P48"/>
      <c r="Q48"/>
      <c r="R48"/>
      <c r="S48"/>
      <c r="T48"/>
      <c r="U48"/>
      <c r="V48"/>
      <c r="W48"/>
      <c r="X48"/>
      <c r="Y48"/>
      <c r="Z48"/>
    </row>
    <row r="49" spans="2:26" ht="18">
      <c r="B49" s="1" t="s">
        <v>4</v>
      </c>
      <c r="O49"/>
      <c r="P49"/>
      <c r="Q49"/>
      <c r="R49"/>
      <c r="S49"/>
      <c r="T49"/>
      <c r="U49"/>
      <c r="V49"/>
      <c r="W49"/>
      <c r="X49"/>
      <c r="Y49"/>
      <c r="Z49"/>
    </row>
    <row r="50" spans="2:26" ht="12" customHeight="1">
      <c r="O50"/>
      <c r="P50"/>
      <c r="Q50"/>
      <c r="R50"/>
      <c r="S50"/>
      <c r="T50"/>
      <c r="U50"/>
      <c r="V50"/>
      <c r="W50"/>
      <c r="X50"/>
      <c r="Y50"/>
      <c r="Z50"/>
    </row>
    <row r="51" spans="2:26" ht="18">
      <c r="B51" s="4" t="s">
        <v>5</v>
      </c>
      <c r="C51" s="19">
        <f>C9</f>
        <v>46028</v>
      </c>
      <c r="D51" s="4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2:26" ht="18">
      <c r="B52" s="4" t="s">
        <v>6</v>
      </c>
      <c r="C52" s="19">
        <f>C10</f>
        <v>46053</v>
      </c>
      <c r="D52" s="4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2:26" ht="18">
      <c r="P53"/>
      <c r="Q53"/>
      <c r="R53"/>
      <c r="S53"/>
      <c r="T53"/>
      <c r="U53"/>
      <c r="V53"/>
    </row>
    <row r="54" spans="2:26" ht="18">
      <c r="P54"/>
      <c r="Q54"/>
      <c r="R54"/>
      <c r="S54"/>
      <c r="T54"/>
      <c r="U54"/>
      <c r="V54"/>
    </row>
    <row r="55" spans="2:26" ht="18">
      <c r="B55" s="1" t="s">
        <v>7</v>
      </c>
      <c r="P55"/>
      <c r="Q55"/>
      <c r="R55"/>
      <c r="S55"/>
      <c r="T55"/>
      <c r="U55"/>
      <c r="V55"/>
    </row>
    <row r="56" spans="2:26" ht="18">
      <c r="B56" s="55" t="s">
        <v>8</v>
      </c>
      <c r="C56" s="55"/>
      <c r="D56" s="55"/>
      <c r="E56" s="55"/>
      <c r="F56" s="5" t="s">
        <v>9</v>
      </c>
      <c r="P56"/>
      <c r="Q56"/>
      <c r="R56"/>
      <c r="S56"/>
      <c r="T56"/>
      <c r="U56"/>
      <c r="V56"/>
    </row>
    <row r="57" spans="2:26" ht="18">
      <c r="B57" s="56" t="s">
        <v>10</v>
      </c>
      <c r="C57" s="6" t="s">
        <v>11</v>
      </c>
      <c r="D57" s="14" t="str">
        <f>D15</f>
        <v>SGET片品メガソーラー発電所</v>
      </c>
      <c r="E57" s="7" t="s">
        <v>13</v>
      </c>
      <c r="F57" s="4"/>
      <c r="P57"/>
      <c r="Q57"/>
      <c r="R57"/>
      <c r="S57"/>
      <c r="T57"/>
      <c r="U57"/>
      <c r="V57"/>
    </row>
    <row r="58" spans="2:26" ht="18">
      <c r="B58" s="57"/>
      <c r="C58" s="6" t="s">
        <v>14</v>
      </c>
      <c r="D58" s="15" t="str">
        <f>D16</f>
        <v>群馬県利根郡片品村大字東小川4648番地</v>
      </c>
      <c r="E58" s="7" t="s">
        <v>13</v>
      </c>
      <c r="F58" s="4"/>
      <c r="P58"/>
      <c r="Q58"/>
      <c r="R58"/>
      <c r="S58"/>
      <c r="T58"/>
      <c r="U58"/>
      <c r="V58"/>
    </row>
    <row r="59" spans="2:26" ht="18">
      <c r="B59" s="57"/>
      <c r="C59" s="6" t="s">
        <v>16</v>
      </c>
      <c r="D59" s="15">
        <f>D17</f>
        <v>36.465000000000003</v>
      </c>
      <c r="E59" s="8" t="s">
        <v>17</v>
      </c>
      <c r="F59" s="4" t="s">
        <v>18</v>
      </c>
      <c r="P59"/>
      <c r="Q59"/>
      <c r="R59"/>
      <c r="S59"/>
      <c r="T59"/>
      <c r="U59"/>
      <c r="V59"/>
    </row>
    <row r="60" spans="2:26" ht="18">
      <c r="B60" s="57"/>
      <c r="C60" s="6" t="s">
        <v>19</v>
      </c>
      <c r="D60" s="15">
        <f>D18</f>
        <v>139.15270000000001</v>
      </c>
      <c r="E60" s="8" t="s">
        <v>17</v>
      </c>
      <c r="F60" s="4" t="s">
        <v>20</v>
      </c>
      <c r="P60"/>
      <c r="Q60"/>
      <c r="R60"/>
      <c r="S60"/>
      <c r="T60"/>
      <c r="U60"/>
      <c r="V60"/>
    </row>
    <row r="61" spans="2:26" ht="18">
      <c r="B61" s="58"/>
      <c r="C61" s="6" t="s">
        <v>24</v>
      </c>
      <c r="D61" s="16">
        <f>D20</f>
        <v>11495000</v>
      </c>
      <c r="E61" s="18" t="s">
        <v>25</v>
      </c>
      <c r="F61" s="4"/>
      <c r="P61"/>
      <c r="Q61"/>
      <c r="R61"/>
      <c r="S61"/>
      <c r="T61"/>
      <c r="U61"/>
      <c r="V61"/>
    </row>
    <row r="62" spans="2:26" ht="18">
      <c r="B62" s="59" t="s">
        <v>61</v>
      </c>
      <c r="C62" s="10" t="s">
        <v>62</v>
      </c>
      <c r="D62" s="17"/>
      <c r="E62" s="11" t="s">
        <v>63</v>
      </c>
      <c r="F62" s="4" t="s">
        <v>64</v>
      </c>
      <c r="P62"/>
      <c r="Q62"/>
      <c r="R62"/>
      <c r="S62"/>
      <c r="T62"/>
      <c r="U62"/>
      <c r="V62"/>
    </row>
    <row r="63" spans="2:26">
      <c r="B63" s="60"/>
      <c r="C63" s="10" t="s">
        <v>65</v>
      </c>
      <c r="D63" s="17"/>
      <c r="E63" s="11" t="s">
        <v>63</v>
      </c>
      <c r="F63" s="4" t="s">
        <v>66</v>
      </c>
    </row>
    <row r="64" spans="2:26">
      <c r="B64" s="60"/>
      <c r="C64" s="10" t="s">
        <v>67</v>
      </c>
      <c r="D64" s="17"/>
      <c r="E64" s="11" t="s">
        <v>63</v>
      </c>
      <c r="F64" s="4" t="s">
        <v>68</v>
      </c>
    </row>
    <row r="65" spans="2:9">
      <c r="B65" s="61"/>
      <c r="C65" s="10" t="s">
        <v>69</v>
      </c>
      <c r="D65" s="17"/>
      <c r="E65" s="11" t="s">
        <v>63</v>
      </c>
      <c r="F65" s="4" t="s">
        <v>70</v>
      </c>
    </row>
    <row r="66" spans="2:9" ht="18">
      <c r="C66" s="12"/>
      <c r="D66"/>
      <c r="E66"/>
      <c r="F66"/>
    </row>
    <row r="68" spans="2:9" ht="18">
      <c r="B68"/>
      <c r="C68"/>
      <c r="D68"/>
      <c r="E68"/>
      <c r="F68"/>
      <c r="H68"/>
      <c r="I68"/>
    </row>
    <row r="69" spans="2:9" ht="18">
      <c r="B69"/>
      <c r="C69"/>
      <c r="D69"/>
      <c r="E69"/>
      <c r="F69"/>
      <c r="H69"/>
      <c r="I69"/>
    </row>
    <row r="70" spans="2:9" ht="18">
      <c r="C70"/>
      <c r="D70"/>
      <c r="E70"/>
      <c r="F70"/>
      <c r="G70" s="13"/>
      <c r="H70"/>
      <c r="I70"/>
    </row>
    <row r="71" spans="2:9" ht="18">
      <c r="C71"/>
      <c r="D71"/>
      <c r="E71"/>
      <c r="F71"/>
      <c r="G71" s="13"/>
      <c r="H71"/>
      <c r="I71"/>
    </row>
    <row r="72" spans="2:9" ht="18">
      <c r="C72"/>
      <c r="D72"/>
      <c r="E72"/>
      <c r="F72"/>
      <c r="G72" s="13"/>
      <c r="H72"/>
      <c r="I72"/>
    </row>
    <row r="73" spans="2:9" ht="18">
      <c r="C73"/>
      <c r="D73"/>
      <c r="E73"/>
      <c r="F73"/>
      <c r="G73" s="13"/>
      <c r="H73"/>
      <c r="I73"/>
    </row>
    <row r="74" spans="2:9" ht="18">
      <c r="C74"/>
      <c r="D74"/>
      <c r="E74"/>
      <c r="F74"/>
      <c r="G74" s="13"/>
      <c r="H74"/>
      <c r="I74"/>
    </row>
    <row r="75" spans="2:9" ht="18">
      <c r="C75"/>
      <c r="D75"/>
      <c r="E75"/>
      <c r="F75"/>
      <c r="G75" s="13"/>
      <c r="H75"/>
      <c r="I75"/>
    </row>
    <row r="76" spans="2:9" ht="18">
      <c r="C76"/>
      <c r="D76"/>
      <c r="E76"/>
      <c r="F76"/>
    </row>
    <row r="77" spans="2:9" ht="18">
      <c r="C77"/>
      <c r="D77"/>
      <c r="E77"/>
      <c r="F77"/>
    </row>
    <row r="78" spans="2:9" ht="18">
      <c r="C78"/>
      <c r="D78"/>
      <c r="E78"/>
      <c r="F78"/>
    </row>
    <row r="79" spans="2:9" ht="18">
      <c r="C79"/>
      <c r="D79"/>
      <c r="E79"/>
      <c r="F79"/>
    </row>
    <row r="80" spans="2:9" ht="18">
      <c r="C80"/>
      <c r="D80"/>
      <c r="E80"/>
      <c r="F80"/>
    </row>
    <row r="81" spans="2:6" ht="18">
      <c r="C81"/>
      <c r="D81"/>
      <c r="E81"/>
      <c r="F81"/>
    </row>
    <row r="82" spans="2:6" ht="18">
      <c r="C82"/>
      <c r="D82"/>
      <c r="E82"/>
      <c r="F82"/>
    </row>
    <row r="83" spans="2:6" ht="18">
      <c r="C83"/>
      <c r="D83"/>
      <c r="E83"/>
      <c r="F83"/>
    </row>
    <row r="84" spans="2:6" ht="18">
      <c r="C84"/>
      <c r="D84"/>
      <c r="E84"/>
      <c r="F84"/>
    </row>
    <row r="85" spans="2:6" ht="18">
      <c r="C85"/>
      <c r="D85"/>
      <c r="E85"/>
      <c r="F85"/>
    </row>
    <row r="86" spans="2:6" ht="18">
      <c r="C86"/>
      <c r="D86"/>
      <c r="E86"/>
      <c r="F86"/>
    </row>
    <row r="87" spans="2:6" ht="18">
      <c r="C87"/>
      <c r="D87"/>
      <c r="E87"/>
      <c r="F87"/>
    </row>
    <row r="88" spans="2:6" ht="18">
      <c r="C88"/>
      <c r="D88"/>
      <c r="E88"/>
      <c r="F88"/>
    </row>
    <row r="89" spans="2:6" ht="18">
      <c r="C89"/>
      <c r="D89"/>
      <c r="E89"/>
      <c r="F89"/>
    </row>
    <row r="90" spans="2:6" ht="18">
      <c r="C90"/>
      <c r="D90"/>
      <c r="E90"/>
      <c r="F90"/>
    </row>
    <row r="91" spans="2:6" ht="18">
      <c r="C91"/>
      <c r="D91"/>
      <c r="E91"/>
      <c r="F91"/>
    </row>
    <row r="92" spans="2:6" ht="18">
      <c r="C92"/>
      <c r="D92"/>
      <c r="E92"/>
      <c r="F92"/>
    </row>
    <row r="93" spans="2:6" ht="18">
      <c r="C93"/>
      <c r="D93"/>
      <c r="E93"/>
      <c r="F93"/>
    </row>
    <row r="94" spans="2:6" ht="18">
      <c r="C94"/>
      <c r="D94"/>
      <c r="E94"/>
      <c r="F94"/>
    </row>
    <row r="95" spans="2:6" ht="18">
      <c r="C95"/>
      <c r="D95"/>
      <c r="E95"/>
      <c r="F95"/>
    </row>
    <row r="96" spans="2:6" ht="18">
      <c r="B96"/>
      <c r="C96"/>
      <c r="D96"/>
      <c r="E96"/>
      <c r="F96"/>
    </row>
    <row r="97" spans="2:6" ht="13.5" customHeight="1">
      <c r="B97"/>
      <c r="C97"/>
      <c r="D97"/>
      <c r="E97"/>
      <c r="F97"/>
    </row>
    <row r="98" spans="2:6" ht="18">
      <c r="B98"/>
      <c r="C98"/>
      <c r="D98"/>
      <c r="E98"/>
      <c r="F98"/>
    </row>
    <row r="99" spans="2:6" ht="18">
      <c r="B99"/>
      <c r="C99"/>
      <c r="D99"/>
      <c r="E99"/>
      <c r="F99"/>
    </row>
    <row r="100" spans="2:6" ht="18">
      <c r="B100"/>
      <c r="C100"/>
      <c r="D100"/>
      <c r="E100"/>
      <c r="F100"/>
    </row>
    <row r="101" spans="2:6" ht="18">
      <c r="B101"/>
      <c r="C101"/>
      <c r="D101"/>
      <c r="E101"/>
      <c r="F101"/>
    </row>
    <row r="102" spans="2:6" ht="18">
      <c r="B102"/>
      <c r="C102"/>
      <c r="D102"/>
      <c r="E102"/>
      <c r="F102"/>
    </row>
    <row r="103" spans="2:6" ht="18">
      <c r="B103"/>
      <c r="C103"/>
      <c r="D103"/>
      <c r="E103"/>
      <c r="F103"/>
    </row>
    <row r="104" spans="2:6" ht="18">
      <c r="B104"/>
      <c r="C104"/>
      <c r="D104"/>
      <c r="E104"/>
      <c r="F104"/>
    </row>
    <row r="105" spans="2:6" ht="18">
      <c r="B105"/>
      <c r="C105"/>
      <c r="D105"/>
      <c r="E105"/>
      <c r="F105"/>
    </row>
  </sheetData>
  <mergeCells count="11">
    <mergeCell ref="B37:B40"/>
    <mergeCell ref="B44:F44"/>
    <mergeCell ref="B56:E56"/>
    <mergeCell ref="B57:B61"/>
    <mergeCell ref="B62:B65"/>
    <mergeCell ref="B35:B36"/>
    <mergeCell ref="B2:F2"/>
    <mergeCell ref="B14:E14"/>
    <mergeCell ref="B15:B20"/>
    <mergeCell ref="B21:B25"/>
    <mergeCell ref="B26:B34"/>
  </mergeCells>
  <phoneticPr fontId="3"/>
  <dataValidations count="3">
    <dataValidation type="list" allowBlank="1" showInputMessage="1" showErrorMessage="1" sqref="D28" xr:uid="{6808FCAB-02A1-4996-BD7E-3B8845A6E82C}">
      <formula1>"Ⅰ,Ⅱ,Ⅲ,Ⅳ"</formula1>
    </dataValidation>
    <dataValidation type="list" allowBlank="1" showInputMessage="1" showErrorMessage="1" sqref="D21" xr:uid="{6B2FD649-EB46-4E7D-B33D-20DE6689B564}">
      <formula1>"極めて重要,通常"</formula1>
    </dataValidation>
    <dataValidation type="list" allowBlank="1" showInputMessage="1" showErrorMessage="1" sqref="D26" xr:uid="{1EA1B08A-C2EE-4E81-8FD3-97155543B42E}">
      <formula1>"JIS-C8955(2004年版),JIS-C8955(2017年版),NEDOガイドライン(2019年版)"</formula1>
    </dataValidation>
  </dataValidations>
  <pageMargins left="0.25" right="0.25" top="0.75" bottom="0.75" header="0.3" footer="0.3"/>
  <pageSetup paperSize="9" scale="59" orientation="portrait" r:id="rId1"/>
  <colBreaks count="1" manualBreakCount="1">
    <brk id="1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FD5EEF6C996A45B6DF9D4C84896011" ma:contentTypeVersion="24" ma:contentTypeDescription="新しいドキュメントを作成します。" ma:contentTypeScope="" ma:versionID="1d76a7d66d19fbb4477555bbac1abdd7">
  <xsd:schema xmlns:xsd="http://www.w3.org/2001/XMLSchema" xmlns:xs="http://www.w3.org/2001/XMLSchema" xmlns:p="http://schemas.microsoft.com/office/2006/metadata/properties" xmlns:ns2="0782926d-74cb-4dd1-805c-8c6dea222321" xmlns:ns3="56cc352b-e51c-4bb8-83fc-99be425df6c4" targetNamespace="http://schemas.microsoft.com/office/2006/metadata/properties" ma:root="true" ma:fieldsID="e4afb26fb60cb7d34be948affa5b51f9" ns2:_="" ns3:_="">
    <xsd:import namespace="0782926d-74cb-4dd1-805c-8c6dea222321"/>
    <xsd:import namespace="56cc352b-e51c-4bb8-83fc-99be425df6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2926d-74cb-4dd1-805c-8c6dea2223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e008d694-cf85-4934-99f2-ae5451b120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承認の状態" ma:internalName="_x627f__x8a8d__x306e__x72b6__x614b_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c352b-e51c-4bb8-83fc-99be425df6c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a44a258-bf5c-4987-9348-9cc2381a06cd}" ma:internalName="TaxCatchAll" ma:showField="CatchAllData" ma:web="56cc352b-e51c-4bb8-83fc-99be425df6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82926d-74cb-4dd1-805c-8c6dea222321">
      <Terms xmlns="http://schemas.microsoft.com/office/infopath/2007/PartnerControls"/>
    </lcf76f155ced4ddcb4097134ff3c332f>
    <_Flow_SignoffStatus xmlns="0782926d-74cb-4dd1-805c-8c6dea222321" xsi:nil="true"/>
    <TaxCatchAll xmlns="56cc352b-e51c-4bb8-83fc-99be425df6c4" xsi:nil="true"/>
  </documentManagement>
</p:properties>
</file>

<file path=customXml/itemProps1.xml><?xml version="1.0" encoding="utf-8"?>
<ds:datastoreItem xmlns:ds="http://schemas.openxmlformats.org/officeDocument/2006/customXml" ds:itemID="{F8F988D7-383E-4726-8883-D8FBBC35E1C1}"/>
</file>

<file path=customXml/itemProps2.xml><?xml version="1.0" encoding="utf-8"?>
<ds:datastoreItem xmlns:ds="http://schemas.openxmlformats.org/officeDocument/2006/customXml" ds:itemID="{288BFFC7-3DB8-4459-864A-C233277651AC}"/>
</file>

<file path=customXml/itemProps3.xml><?xml version="1.0" encoding="utf-8"?>
<ds:datastoreItem xmlns:ds="http://schemas.openxmlformats.org/officeDocument/2006/customXml" ds:itemID="{C734E1C7-709B-4167-B332-EA69D28505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Kyohei Suzuki</dc:creator>
  <cp:keywords/>
  <dc:description/>
  <cp:lastModifiedBy>Ohya, Tetsuharu</cp:lastModifiedBy>
  <cp:revision/>
  <dcterms:created xsi:type="dcterms:W3CDTF">2024-02-08T02:34:17Z</dcterms:created>
  <dcterms:modified xsi:type="dcterms:W3CDTF">2026-01-22T23:40:36Z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0x0101006AFD5EEF6C996A45B6DF9D4C84896011</vt:lpwstr>
  </property>
  <property fmtid="{D5CDD505-2E9C-101B-9397-08002B2CF9AE}" pid="3" name="MediaServiceImageTags">
    <vt:lpwstr/>
  </property>
</Properties>
</file>