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89DC4BEC-21DE-46B6-AC0C-1FCF723AD52F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1" i="1" l="1"/>
  <c r="I91" i="1"/>
  <c r="J91" i="1"/>
  <c r="G91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25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C91" i="1" l="1"/>
  <c r="E91" i="1"/>
  <c r="B91" i="1"/>
</calcChain>
</file>

<file path=xl/sharedStrings.xml><?xml version="1.0" encoding="utf-8"?>
<sst xmlns="http://schemas.openxmlformats.org/spreadsheetml/2006/main" count="194" uniqueCount="33">
  <si>
    <t>西北西</t>
  </si>
  <si>
    <t>北</t>
  </si>
  <si>
    <t>西</t>
  </si>
  <si>
    <t>西南西</t>
  </si>
  <si>
    <t>北西</t>
  </si>
  <si>
    <t>東</t>
  </si>
  <si>
    <t>東北東</t>
  </si>
  <si>
    <t>南南東</t>
  </si>
  <si>
    <t>南東</t>
  </si>
  <si>
    <t>最大風速</t>
    <rPh sb="0" eb="2">
      <t>サイダイ</t>
    </rPh>
    <rPh sb="2" eb="4">
      <t>フウソク</t>
    </rPh>
    <phoneticPr fontId="1"/>
  </si>
  <si>
    <t>最大瞬間風速</t>
    <rPh sb="0" eb="2">
      <t>サイダイ</t>
    </rPh>
    <rPh sb="2" eb="4">
      <t>シュンカン</t>
    </rPh>
    <rPh sb="4" eb="6">
      <t>フウソク</t>
    </rPh>
    <phoneticPr fontId="1"/>
  </si>
  <si>
    <t>　</t>
  </si>
  <si>
    <t>南西</t>
  </si>
  <si>
    <t>北東</t>
  </si>
  <si>
    <t>北北西</t>
  </si>
  <si>
    <t>東南東</t>
  </si>
  <si>
    <t>南</t>
  </si>
  <si>
    <t>南南西</t>
  </si>
  <si>
    <t>3.9 ]</t>
  </si>
  <si>
    <t>21.6 ]</t>
  </si>
  <si>
    <t>55.4 ]</t>
  </si>
  <si>
    <t>25.3 ]</t>
  </si>
  <si>
    <t>37.1 ]</t>
  </si>
  <si>
    <t>北北東</t>
  </si>
  <si>
    <t>23.4 ]</t>
  </si>
  <si>
    <t>5.2 ]</t>
  </si>
  <si>
    <t>18.6 ]</t>
  </si>
  <si>
    <t>26.2 ]</t>
  </si>
  <si>
    <t>平均風速</t>
    <rPh sb="0" eb="2">
      <t>ヘイキン</t>
    </rPh>
    <rPh sb="2" eb="4">
      <t>フウソク</t>
    </rPh>
    <phoneticPr fontId="1"/>
  </si>
  <si>
    <t>最大風速</t>
    <rPh sb="0" eb="2">
      <t>サイダイ</t>
    </rPh>
    <rPh sb="2" eb="4">
      <t>フウソク</t>
    </rPh>
    <phoneticPr fontId="1"/>
  </si>
  <si>
    <t>向き</t>
    <rPh sb="0" eb="1">
      <t>ム</t>
    </rPh>
    <phoneticPr fontId="1"/>
  </si>
  <si>
    <t>最大瞬間風速</t>
    <rPh sb="0" eb="2">
      <t>サイダイ</t>
    </rPh>
    <rPh sb="2" eb="4">
      <t>シュンカン</t>
    </rPh>
    <rPh sb="4" eb="6">
      <t>フウソク</t>
    </rPh>
    <phoneticPr fontId="1"/>
  </si>
  <si>
    <t>MAX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</si>
</sst>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1"/>
  <sheetViews>
    <sheetView tabSelected="1" topLeftCell="A61" workbookViewId="0">
      <selection activeCell="G92" sqref="G92"/>
    </sheetView>
  </sheetViews>
  <sheetFormatPr defaultRowHeight="13.5" x14ac:dyDescent="0.15"/>
  <sheetData>
    <row r="1" spans="1:10" x14ac:dyDescent="0.15">
      <c r="B1" t="s">
        <v>28</v>
      </c>
      <c r="C1" t="s">
        <v>29</v>
      </c>
      <c r="D1" t="s">
        <v>30</v>
      </c>
      <c r="E1" t="s">
        <v>31</v>
      </c>
      <c r="G1">
        <v>10</v>
      </c>
      <c r="H1">
        <v>15</v>
      </c>
      <c r="I1">
        <v>20</v>
      </c>
      <c r="J1">
        <v>30</v>
      </c>
    </row>
    <row r="2" spans="1:10" x14ac:dyDescent="0.15">
      <c r="A2">
        <v>1937</v>
      </c>
    </row>
    <row r="3" spans="1:10" x14ac:dyDescent="0.15">
      <c r="A3">
        <v>1938</v>
      </c>
      <c r="B3" t="s">
        <v>11</v>
      </c>
      <c r="C3" t="s">
        <v>11</v>
      </c>
      <c r="E3" t="s">
        <v>11</v>
      </c>
    </row>
    <row r="4" spans="1:10" x14ac:dyDescent="0.15">
      <c r="A4">
        <v>1939</v>
      </c>
    </row>
    <row r="5" spans="1:10" x14ac:dyDescent="0.15">
      <c r="A5">
        <v>1940</v>
      </c>
      <c r="B5" t="s">
        <v>11</v>
      </c>
      <c r="C5" t="s">
        <v>11</v>
      </c>
      <c r="E5" t="s">
        <v>11</v>
      </c>
    </row>
    <row r="6" spans="1:10" x14ac:dyDescent="0.15">
      <c r="A6">
        <v>1941</v>
      </c>
    </row>
    <row r="7" spans="1:10" x14ac:dyDescent="0.15">
      <c r="A7">
        <v>1942</v>
      </c>
      <c r="B7" t="s">
        <v>11</v>
      </c>
      <c r="C7" t="s">
        <v>11</v>
      </c>
      <c r="E7" t="s">
        <v>11</v>
      </c>
    </row>
    <row r="8" spans="1:10" x14ac:dyDescent="0.15">
      <c r="A8">
        <v>1943</v>
      </c>
    </row>
    <row r="9" spans="1:10" x14ac:dyDescent="0.15">
      <c r="A9">
        <v>1944</v>
      </c>
      <c r="B9" t="s">
        <v>11</v>
      </c>
      <c r="C9" t="s">
        <v>11</v>
      </c>
      <c r="E9" t="s">
        <v>11</v>
      </c>
    </row>
    <row r="10" spans="1:10" x14ac:dyDescent="0.15">
      <c r="A10">
        <v>1945</v>
      </c>
    </row>
    <row r="11" spans="1:10" x14ac:dyDescent="0.15">
      <c r="A11">
        <v>1946</v>
      </c>
      <c r="B11" t="s">
        <v>11</v>
      </c>
      <c r="C11" t="s">
        <v>11</v>
      </c>
      <c r="E11" t="s">
        <v>11</v>
      </c>
    </row>
    <row r="12" spans="1:10" x14ac:dyDescent="0.15">
      <c r="A12">
        <v>1947</v>
      </c>
    </row>
    <row r="13" spans="1:10" x14ac:dyDescent="0.15">
      <c r="A13">
        <v>1948</v>
      </c>
      <c r="B13" t="s">
        <v>11</v>
      </c>
      <c r="C13" t="s">
        <v>11</v>
      </c>
      <c r="E13" t="s">
        <v>11</v>
      </c>
    </row>
    <row r="14" spans="1:10" x14ac:dyDescent="0.15">
      <c r="A14">
        <v>1949</v>
      </c>
    </row>
    <row r="15" spans="1:10" x14ac:dyDescent="0.15">
      <c r="A15">
        <v>1950</v>
      </c>
    </row>
    <row r="16" spans="1:10" x14ac:dyDescent="0.15">
      <c r="A16">
        <v>1951</v>
      </c>
      <c r="B16">
        <v>5.3</v>
      </c>
      <c r="C16" t="s">
        <v>11</v>
      </c>
      <c r="D16" t="s">
        <v>6</v>
      </c>
      <c r="E16" t="s">
        <v>11</v>
      </c>
    </row>
    <row r="17" spans="1:10" x14ac:dyDescent="0.15">
      <c r="A17">
        <v>1952</v>
      </c>
      <c r="B17">
        <v>4.8</v>
      </c>
      <c r="C17" t="s">
        <v>11</v>
      </c>
      <c r="D17" t="s">
        <v>6</v>
      </c>
      <c r="E17" t="s">
        <v>11</v>
      </c>
    </row>
    <row r="18" spans="1:10" x14ac:dyDescent="0.15">
      <c r="A18">
        <v>1953</v>
      </c>
      <c r="B18">
        <v>5.3</v>
      </c>
      <c r="C18" t="s">
        <v>11</v>
      </c>
      <c r="D18" t="s">
        <v>6</v>
      </c>
      <c r="E18" t="s">
        <v>11</v>
      </c>
    </row>
    <row r="19" spans="1:10" x14ac:dyDescent="0.15">
      <c r="A19">
        <v>1954</v>
      </c>
      <c r="B19">
        <v>5.6</v>
      </c>
      <c r="C19" t="s">
        <v>11</v>
      </c>
      <c r="D19" t="s">
        <v>6</v>
      </c>
      <c r="E19" t="s">
        <v>11</v>
      </c>
    </row>
    <row r="20" spans="1:10" x14ac:dyDescent="0.15">
      <c r="A20">
        <v>1955</v>
      </c>
      <c r="B20">
        <v>5.0999999999999996</v>
      </c>
      <c r="C20" t="s">
        <v>11</v>
      </c>
      <c r="D20" t="s">
        <v>6</v>
      </c>
      <c r="E20" t="s">
        <v>11</v>
      </c>
    </row>
    <row r="21" spans="1:10" x14ac:dyDescent="0.15">
      <c r="A21">
        <v>1956</v>
      </c>
      <c r="B21">
        <v>5.5</v>
      </c>
      <c r="C21" t="s">
        <v>11</v>
      </c>
      <c r="D21" t="s">
        <v>12</v>
      </c>
      <c r="E21" t="s">
        <v>11</v>
      </c>
    </row>
    <row r="22" spans="1:10" x14ac:dyDescent="0.15">
      <c r="A22">
        <v>1957</v>
      </c>
      <c r="B22">
        <v>5.4</v>
      </c>
      <c r="C22" t="s">
        <v>11</v>
      </c>
      <c r="D22" t="s">
        <v>6</v>
      </c>
      <c r="E22" t="s">
        <v>11</v>
      </c>
    </row>
    <row r="23" spans="1:10" x14ac:dyDescent="0.15">
      <c r="A23">
        <v>1958</v>
      </c>
      <c r="B23">
        <v>5.5</v>
      </c>
      <c r="C23" t="s">
        <v>11</v>
      </c>
      <c r="D23" t="s">
        <v>13</v>
      </c>
      <c r="E23" t="s">
        <v>11</v>
      </c>
    </row>
    <row r="24" spans="1:10" x14ac:dyDescent="0.15">
      <c r="A24">
        <v>1959</v>
      </c>
      <c r="B24">
        <v>5.3</v>
      </c>
      <c r="C24" t="s">
        <v>11</v>
      </c>
      <c r="D24" t="s">
        <v>6</v>
      </c>
      <c r="E24" t="s">
        <v>11</v>
      </c>
    </row>
    <row r="25" spans="1:10" x14ac:dyDescent="0.15">
      <c r="A25">
        <v>1960</v>
      </c>
      <c r="B25">
        <v>5.3</v>
      </c>
      <c r="C25">
        <v>24.7</v>
      </c>
      <c r="D25" t="s">
        <v>3</v>
      </c>
      <c r="E25" t="s">
        <v>11</v>
      </c>
      <c r="G25">
        <f t="shared" ref="G17:H80" si="0">IF(C25&gt;10,1,0)</f>
        <v>1</v>
      </c>
      <c r="H25">
        <f>IF(C25&gt;15,1,0)</f>
        <v>1</v>
      </c>
      <c r="I25">
        <f>IF(C24&gt;20,1,0)</f>
        <v>1</v>
      </c>
      <c r="J25">
        <f>IF(C25&gt;30,1,0)</f>
        <v>0</v>
      </c>
    </row>
    <row r="26" spans="1:10" x14ac:dyDescent="0.15">
      <c r="A26">
        <v>1961</v>
      </c>
      <c r="B26">
        <v>4.8</v>
      </c>
      <c r="C26">
        <v>36.5</v>
      </c>
      <c r="D26" t="s">
        <v>6</v>
      </c>
      <c r="E26" t="s">
        <v>11</v>
      </c>
      <c r="G26">
        <f t="shared" si="0"/>
        <v>1</v>
      </c>
      <c r="H26">
        <f t="shared" ref="H26:H89" si="1">IF(C26&gt;15,1,0)</f>
        <v>1</v>
      </c>
      <c r="I26">
        <f t="shared" ref="I26:I89" si="2">IF(C25&gt;20,1,0)</f>
        <v>1</v>
      </c>
      <c r="J26">
        <f t="shared" ref="J26:J89" si="3">IF(C26&gt;30,1,0)</f>
        <v>1</v>
      </c>
    </row>
    <row r="27" spans="1:10" x14ac:dyDescent="0.15">
      <c r="A27">
        <v>1962</v>
      </c>
      <c r="B27">
        <v>4.8</v>
      </c>
      <c r="C27">
        <v>22.3</v>
      </c>
      <c r="D27" t="s">
        <v>6</v>
      </c>
      <c r="E27" t="s">
        <v>11</v>
      </c>
      <c r="G27">
        <f t="shared" si="0"/>
        <v>1</v>
      </c>
      <c r="H27">
        <f t="shared" si="1"/>
        <v>1</v>
      </c>
      <c r="I27">
        <f t="shared" si="2"/>
        <v>1</v>
      </c>
      <c r="J27">
        <f t="shared" si="3"/>
        <v>0</v>
      </c>
    </row>
    <row r="28" spans="1:10" x14ac:dyDescent="0.15">
      <c r="A28">
        <v>1963</v>
      </c>
      <c r="B28">
        <v>5</v>
      </c>
      <c r="C28">
        <v>23.3</v>
      </c>
      <c r="D28" t="s">
        <v>13</v>
      </c>
      <c r="E28" t="s">
        <v>11</v>
      </c>
      <c r="G28">
        <f t="shared" si="0"/>
        <v>1</v>
      </c>
      <c r="H28">
        <f t="shared" si="1"/>
        <v>1</v>
      </c>
      <c r="I28">
        <f t="shared" si="2"/>
        <v>1</v>
      </c>
      <c r="J28">
        <f t="shared" si="3"/>
        <v>0</v>
      </c>
    </row>
    <row r="29" spans="1:10" x14ac:dyDescent="0.15">
      <c r="A29">
        <v>1964</v>
      </c>
      <c r="B29">
        <v>4.9000000000000004</v>
      </c>
      <c r="C29">
        <v>50.2</v>
      </c>
      <c r="D29" t="s">
        <v>6</v>
      </c>
      <c r="E29" t="s">
        <v>11</v>
      </c>
      <c r="G29">
        <f t="shared" si="0"/>
        <v>1</v>
      </c>
      <c r="H29">
        <f t="shared" si="1"/>
        <v>1</v>
      </c>
      <c r="I29">
        <f t="shared" si="2"/>
        <v>1</v>
      </c>
      <c r="J29">
        <f t="shared" si="3"/>
        <v>1</v>
      </c>
    </row>
    <row r="30" spans="1:10" x14ac:dyDescent="0.15">
      <c r="A30">
        <v>1965</v>
      </c>
      <c r="B30">
        <v>4.8</v>
      </c>
      <c r="C30">
        <v>25</v>
      </c>
      <c r="D30" t="s">
        <v>6</v>
      </c>
      <c r="E30" t="s">
        <v>11</v>
      </c>
      <c r="G30">
        <f t="shared" si="0"/>
        <v>1</v>
      </c>
      <c r="H30">
        <f t="shared" si="1"/>
        <v>1</v>
      </c>
      <c r="I30">
        <f t="shared" si="2"/>
        <v>1</v>
      </c>
      <c r="J30">
        <f t="shared" si="3"/>
        <v>0</v>
      </c>
    </row>
    <row r="31" spans="1:10" x14ac:dyDescent="0.15">
      <c r="A31">
        <v>1966</v>
      </c>
      <c r="B31">
        <v>4.8</v>
      </c>
      <c r="C31">
        <v>24.2</v>
      </c>
      <c r="D31" t="s">
        <v>12</v>
      </c>
      <c r="E31">
        <v>33.6</v>
      </c>
      <c r="F31" t="s">
        <v>6</v>
      </c>
      <c r="G31">
        <f t="shared" si="0"/>
        <v>1</v>
      </c>
      <c r="H31">
        <f t="shared" si="1"/>
        <v>1</v>
      </c>
      <c r="I31">
        <f t="shared" si="2"/>
        <v>1</v>
      </c>
      <c r="J31">
        <f t="shared" si="3"/>
        <v>0</v>
      </c>
    </row>
    <row r="32" spans="1:10" x14ac:dyDescent="0.15">
      <c r="A32">
        <v>1967</v>
      </c>
      <c r="B32">
        <v>4.8</v>
      </c>
      <c r="C32">
        <v>25</v>
      </c>
      <c r="D32" t="s">
        <v>8</v>
      </c>
      <c r="E32">
        <v>39</v>
      </c>
      <c r="F32" t="s">
        <v>13</v>
      </c>
      <c r="G32">
        <f t="shared" si="0"/>
        <v>1</v>
      </c>
      <c r="H32">
        <f t="shared" si="1"/>
        <v>1</v>
      </c>
      <c r="I32">
        <f t="shared" si="2"/>
        <v>1</v>
      </c>
      <c r="J32">
        <f t="shared" si="3"/>
        <v>0</v>
      </c>
    </row>
    <row r="33" spans="1:10" x14ac:dyDescent="0.15">
      <c r="A33">
        <v>1968</v>
      </c>
      <c r="B33">
        <v>4.8</v>
      </c>
      <c r="C33">
        <v>24.3</v>
      </c>
      <c r="D33" t="s">
        <v>14</v>
      </c>
      <c r="E33">
        <v>42.2</v>
      </c>
      <c r="F33" t="s">
        <v>12</v>
      </c>
      <c r="G33">
        <f t="shared" si="0"/>
        <v>1</v>
      </c>
      <c r="H33">
        <f t="shared" si="1"/>
        <v>1</v>
      </c>
      <c r="I33">
        <f t="shared" si="2"/>
        <v>1</v>
      </c>
      <c r="J33">
        <f t="shared" si="3"/>
        <v>0</v>
      </c>
    </row>
    <row r="34" spans="1:10" x14ac:dyDescent="0.15">
      <c r="A34">
        <v>1969</v>
      </c>
      <c r="B34">
        <v>4.8</v>
      </c>
      <c r="C34">
        <v>31</v>
      </c>
      <c r="D34" t="s">
        <v>14</v>
      </c>
      <c r="E34">
        <v>50.2</v>
      </c>
      <c r="F34" t="s">
        <v>3</v>
      </c>
      <c r="G34">
        <f t="shared" si="0"/>
        <v>1</v>
      </c>
      <c r="H34">
        <f t="shared" si="1"/>
        <v>1</v>
      </c>
      <c r="I34">
        <f t="shared" si="2"/>
        <v>1</v>
      </c>
      <c r="J34">
        <f t="shared" si="3"/>
        <v>1</v>
      </c>
    </row>
    <row r="35" spans="1:10" x14ac:dyDescent="0.15">
      <c r="A35">
        <v>1970</v>
      </c>
      <c r="B35">
        <v>4.7</v>
      </c>
      <c r="C35">
        <v>26.3</v>
      </c>
      <c r="D35" t="s">
        <v>4</v>
      </c>
      <c r="E35">
        <v>38.6</v>
      </c>
      <c r="F35" t="s">
        <v>13</v>
      </c>
      <c r="G35">
        <f t="shared" si="0"/>
        <v>1</v>
      </c>
      <c r="H35">
        <f t="shared" si="1"/>
        <v>1</v>
      </c>
      <c r="I35">
        <f t="shared" si="2"/>
        <v>1</v>
      </c>
      <c r="J35">
        <f t="shared" si="3"/>
        <v>0</v>
      </c>
    </row>
    <row r="36" spans="1:10" x14ac:dyDescent="0.15">
      <c r="A36">
        <v>1971</v>
      </c>
      <c r="B36">
        <v>5.0999999999999996</v>
      </c>
      <c r="C36">
        <v>41.3</v>
      </c>
      <c r="D36" t="s">
        <v>4</v>
      </c>
      <c r="E36">
        <v>61.2</v>
      </c>
      <c r="F36" t="s">
        <v>6</v>
      </c>
      <c r="G36">
        <f t="shared" si="0"/>
        <v>1</v>
      </c>
      <c r="H36">
        <f t="shared" si="1"/>
        <v>1</v>
      </c>
      <c r="I36">
        <f t="shared" si="2"/>
        <v>1</v>
      </c>
      <c r="J36">
        <f t="shared" si="3"/>
        <v>1</v>
      </c>
    </row>
    <row r="37" spans="1:10" x14ac:dyDescent="0.15">
      <c r="A37">
        <v>1972</v>
      </c>
      <c r="B37">
        <v>5.0999999999999996</v>
      </c>
      <c r="C37">
        <v>33.799999999999997</v>
      </c>
      <c r="D37" t="s">
        <v>14</v>
      </c>
      <c r="E37">
        <v>45.4</v>
      </c>
      <c r="F37" t="s">
        <v>13</v>
      </c>
      <c r="G37">
        <f t="shared" si="0"/>
        <v>1</v>
      </c>
      <c r="H37">
        <f t="shared" si="1"/>
        <v>1</v>
      </c>
      <c r="I37">
        <f t="shared" si="2"/>
        <v>1</v>
      </c>
      <c r="J37">
        <f t="shared" si="3"/>
        <v>1</v>
      </c>
    </row>
    <row r="38" spans="1:10" x14ac:dyDescent="0.15">
      <c r="A38">
        <v>1973</v>
      </c>
      <c r="B38">
        <v>4.5999999999999996</v>
      </c>
      <c r="C38">
        <v>28.7</v>
      </c>
      <c r="D38" t="s">
        <v>14</v>
      </c>
      <c r="E38">
        <v>40.4</v>
      </c>
      <c r="F38" t="s">
        <v>6</v>
      </c>
      <c r="G38">
        <f t="shared" si="0"/>
        <v>1</v>
      </c>
      <c r="H38">
        <f t="shared" si="1"/>
        <v>1</v>
      </c>
      <c r="I38">
        <f t="shared" si="2"/>
        <v>1</v>
      </c>
      <c r="J38">
        <f t="shared" si="3"/>
        <v>0</v>
      </c>
    </row>
    <row r="39" spans="1:10" x14ac:dyDescent="0.15">
      <c r="A39">
        <v>1974</v>
      </c>
      <c r="B39">
        <v>4.4000000000000004</v>
      </c>
      <c r="C39">
        <v>32.299999999999997</v>
      </c>
      <c r="D39" t="s">
        <v>14</v>
      </c>
      <c r="E39">
        <v>46.5</v>
      </c>
      <c r="F39" t="s">
        <v>6</v>
      </c>
      <c r="G39">
        <f t="shared" si="0"/>
        <v>1</v>
      </c>
      <c r="H39">
        <f t="shared" si="1"/>
        <v>1</v>
      </c>
      <c r="I39">
        <f t="shared" si="2"/>
        <v>1</v>
      </c>
      <c r="J39">
        <f t="shared" si="3"/>
        <v>1</v>
      </c>
    </row>
    <row r="40" spans="1:10" x14ac:dyDescent="0.15">
      <c r="A40">
        <v>1975</v>
      </c>
      <c r="B40">
        <v>4</v>
      </c>
      <c r="C40">
        <v>19.7</v>
      </c>
      <c r="D40" t="s">
        <v>5</v>
      </c>
      <c r="E40">
        <v>35.4</v>
      </c>
      <c r="F40" t="s">
        <v>12</v>
      </c>
      <c r="G40">
        <f t="shared" si="0"/>
        <v>1</v>
      </c>
      <c r="H40">
        <f t="shared" si="1"/>
        <v>1</v>
      </c>
      <c r="I40">
        <f t="shared" si="2"/>
        <v>1</v>
      </c>
      <c r="J40">
        <f t="shared" si="3"/>
        <v>0</v>
      </c>
    </row>
    <row r="41" spans="1:10" x14ac:dyDescent="0.15">
      <c r="A41">
        <v>1976</v>
      </c>
      <c r="B41">
        <v>4.0999999999999996</v>
      </c>
      <c r="C41">
        <v>22.2</v>
      </c>
      <c r="D41" t="s">
        <v>15</v>
      </c>
      <c r="E41">
        <v>37.4</v>
      </c>
      <c r="F41" t="s">
        <v>8</v>
      </c>
      <c r="G41">
        <f t="shared" si="0"/>
        <v>1</v>
      </c>
      <c r="H41">
        <f t="shared" si="1"/>
        <v>1</v>
      </c>
      <c r="I41">
        <f t="shared" si="2"/>
        <v>0</v>
      </c>
      <c r="J41">
        <f t="shared" si="3"/>
        <v>0</v>
      </c>
    </row>
    <row r="42" spans="1:10" x14ac:dyDescent="0.15">
      <c r="A42">
        <v>1977</v>
      </c>
      <c r="B42">
        <v>4</v>
      </c>
      <c r="C42">
        <v>17.899999999999999</v>
      </c>
      <c r="D42" t="s">
        <v>14</v>
      </c>
      <c r="E42">
        <v>27.7</v>
      </c>
      <c r="F42" t="s">
        <v>14</v>
      </c>
      <c r="G42">
        <f t="shared" si="0"/>
        <v>1</v>
      </c>
      <c r="H42">
        <f t="shared" si="1"/>
        <v>1</v>
      </c>
      <c r="I42">
        <f t="shared" si="2"/>
        <v>1</v>
      </c>
      <c r="J42">
        <f t="shared" si="3"/>
        <v>0</v>
      </c>
    </row>
    <row r="43" spans="1:10" x14ac:dyDescent="0.15">
      <c r="A43">
        <v>1978</v>
      </c>
      <c r="B43">
        <v>4.0999999999999996</v>
      </c>
      <c r="C43">
        <v>16.899999999999999</v>
      </c>
      <c r="D43" t="s">
        <v>14</v>
      </c>
      <c r="E43">
        <v>29.6</v>
      </c>
      <c r="F43" t="s">
        <v>14</v>
      </c>
      <c r="G43">
        <f t="shared" si="0"/>
        <v>1</v>
      </c>
      <c r="H43">
        <f t="shared" si="1"/>
        <v>1</v>
      </c>
      <c r="I43">
        <f t="shared" si="2"/>
        <v>0</v>
      </c>
      <c r="J43">
        <f t="shared" si="3"/>
        <v>0</v>
      </c>
    </row>
    <row r="44" spans="1:10" x14ac:dyDescent="0.15">
      <c r="A44">
        <v>1979</v>
      </c>
      <c r="B44">
        <v>4</v>
      </c>
      <c r="C44">
        <v>26.4</v>
      </c>
      <c r="D44" t="s">
        <v>14</v>
      </c>
      <c r="E44">
        <v>41.4</v>
      </c>
      <c r="F44" t="s">
        <v>14</v>
      </c>
      <c r="G44">
        <f t="shared" si="0"/>
        <v>1</v>
      </c>
      <c r="H44">
        <f t="shared" si="1"/>
        <v>1</v>
      </c>
      <c r="I44">
        <f t="shared" si="2"/>
        <v>0</v>
      </c>
      <c r="J44">
        <f t="shared" si="3"/>
        <v>0</v>
      </c>
    </row>
    <row r="45" spans="1:10" x14ac:dyDescent="0.15">
      <c r="A45">
        <v>1980</v>
      </c>
      <c r="B45">
        <v>4</v>
      </c>
      <c r="C45">
        <v>24.1</v>
      </c>
      <c r="D45" t="s">
        <v>2</v>
      </c>
      <c r="E45">
        <v>39.799999999999997</v>
      </c>
      <c r="F45" t="s">
        <v>4</v>
      </c>
      <c r="G45">
        <f t="shared" si="0"/>
        <v>1</v>
      </c>
      <c r="H45">
        <f t="shared" si="1"/>
        <v>1</v>
      </c>
      <c r="I45">
        <f t="shared" si="2"/>
        <v>1</v>
      </c>
      <c r="J45">
        <f t="shared" si="3"/>
        <v>0</v>
      </c>
    </row>
    <row r="46" spans="1:10" x14ac:dyDescent="0.15">
      <c r="A46">
        <v>1981</v>
      </c>
      <c r="B46">
        <v>4.0999999999999996</v>
      </c>
      <c r="C46">
        <v>18.399999999999999</v>
      </c>
      <c r="D46" t="s">
        <v>14</v>
      </c>
      <c r="E46">
        <v>26.6</v>
      </c>
      <c r="F46" t="s">
        <v>14</v>
      </c>
      <c r="G46">
        <f t="shared" si="0"/>
        <v>1</v>
      </c>
      <c r="H46">
        <f t="shared" si="1"/>
        <v>1</v>
      </c>
      <c r="I46">
        <f t="shared" si="2"/>
        <v>1</v>
      </c>
      <c r="J46">
        <f t="shared" si="3"/>
        <v>0</v>
      </c>
    </row>
    <row r="47" spans="1:10" x14ac:dyDescent="0.15">
      <c r="A47">
        <v>1982</v>
      </c>
      <c r="B47">
        <v>3.8</v>
      </c>
      <c r="C47">
        <v>21.6</v>
      </c>
      <c r="D47" t="s">
        <v>14</v>
      </c>
      <c r="E47">
        <v>31</v>
      </c>
      <c r="F47" t="s">
        <v>5</v>
      </c>
      <c r="G47">
        <f t="shared" si="0"/>
        <v>1</v>
      </c>
      <c r="H47">
        <f t="shared" si="1"/>
        <v>1</v>
      </c>
      <c r="I47">
        <f t="shared" si="2"/>
        <v>0</v>
      </c>
      <c r="J47">
        <f t="shared" si="3"/>
        <v>0</v>
      </c>
    </row>
    <row r="48" spans="1:10" x14ac:dyDescent="0.15">
      <c r="A48">
        <v>1983</v>
      </c>
      <c r="B48">
        <v>3.9</v>
      </c>
      <c r="C48">
        <v>14.6</v>
      </c>
      <c r="D48" t="s">
        <v>14</v>
      </c>
      <c r="E48">
        <v>27.2</v>
      </c>
      <c r="F48" t="s">
        <v>12</v>
      </c>
      <c r="G48">
        <f t="shared" si="0"/>
        <v>1</v>
      </c>
      <c r="H48">
        <f t="shared" si="1"/>
        <v>0</v>
      </c>
      <c r="I48">
        <f t="shared" si="2"/>
        <v>1</v>
      </c>
      <c r="J48">
        <f t="shared" si="3"/>
        <v>0</v>
      </c>
    </row>
    <row r="49" spans="1:10" x14ac:dyDescent="0.15">
      <c r="A49">
        <v>1984</v>
      </c>
      <c r="B49">
        <v>3.9</v>
      </c>
      <c r="C49">
        <v>23.2</v>
      </c>
      <c r="D49" t="s">
        <v>17</v>
      </c>
      <c r="E49">
        <v>36.700000000000003</v>
      </c>
      <c r="F49" t="s">
        <v>15</v>
      </c>
      <c r="G49">
        <f t="shared" si="0"/>
        <v>1</v>
      </c>
      <c r="H49">
        <f t="shared" si="1"/>
        <v>1</v>
      </c>
      <c r="I49">
        <f t="shared" si="2"/>
        <v>0</v>
      </c>
      <c r="J49">
        <f t="shared" si="3"/>
        <v>0</v>
      </c>
    </row>
    <row r="50" spans="1:10" x14ac:dyDescent="0.15">
      <c r="A50">
        <v>1985</v>
      </c>
      <c r="B50">
        <v>3.8</v>
      </c>
      <c r="C50">
        <v>36.5</v>
      </c>
      <c r="D50" t="s">
        <v>15</v>
      </c>
      <c r="E50">
        <v>56.7</v>
      </c>
      <c r="F50" t="s">
        <v>15</v>
      </c>
      <c r="G50">
        <f t="shared" si="0"/>
        <v>1</v>
      </c>
      <c r="H50">
        <f t="shared" si="1"/>
        <v>1</v>
      </c>
      <c r="I50">
        <f t="shared" si="2"/>
        <v>1</v>
      </c>
      <c r="J50">
        <f t="shared" si="3"/>
        <v>1</v>
      </c>
    </row>
    <row r="51" spans="1:10" x14ac:dyDescent="0.15">
      <c r="A51">
        <v>1986</v>
      </c>
      <c r="B51">
        <v>4</v>
      </c>
      <c r="C51">
        <v>15.8</v>
      </c>
      <c r="D51" t="s">
        <v>14</v>
      </c>
      <c r="E51">
        <v>26.9</v>
      </c>
      <c r="F51" t="s">
        <v>14</v>
      </c>
      <c r="G51">
        <f t="shared" si="0"/>
        <v>1</v>
      </c>
      <c r="H51">
        <f t="shared" si="1"/>
        <v>1</v>
      </c>
      <c r="I51">
        <f t="shared" si="2"/>
        <v>1</v>
      </c>
      <c r="J51">
        <f t="shared" si="3"/>
        <v>0</v>
      </c>
    </row>
    <row r="52" spans="1:10" x14ac:dyDescent="0.15">
      <c r="A52">
        <v>1987</v>
      </c>
      <c r="B52">
        <v>3.9</v>
      </c>
      <c r="C52">
        <v>18.600000000000001</v>
      </c>
      <c r="D52" t="s">
        <v>15</v>
      </c>
      <c r="E52">
        <v>34.200000000000003</v>
      </c>
      <c r="F52" t="s">
        <v>4</v>
      </c>
      <c r="G52">
        <f t="shared" si="0"/>
        <v>1</v>
      </c>
      <c r="H52">
        <f t="shared" si="1"/>
        <v>1</v>
      </c>
      <c r="I52">
        <f t="shared" si="2"/>
        <v>0</v>
      </c>
      <c r="J52">
        <f t="shared" si="3"/>
        <v>0</v>
      </c>
    </row>
    <row r="53" spans="1:10" x14ac:dyDescent="0.15">
      <c r="A53">
        <v>1988</v>
      </c>
      <c r="B53">
        <v>3.9</v>
      </c>
      <c r="C53">
        <v>14.9</v>
      </c>
      <c r="D53" t="s">
        <v>17</v>
      </c>
      <c r="E53">
        <v>27.5</v>
      </c>
      <c r="F53" t="s">
        <v>0</v>
      </c>
      <c r="G53">
        <f t="shared" si="0"/>
        <v>1</v>
      </c>
      <c r="H53">
        <f t="shared" si="1"/>
        <v>0</v>
      </c>
      <c r="I53">
        <f t="shared" si="2"/>
        <v>0</v>
      </c>
      <c r="J53">
        <f t="shared" si="3"/>
        <v>0</v>
      </c>
    </row>
    <row r="54" spans="1:10" x14ac:dyDescent="0.15">
      <c r="A54">
        <v>1989</v>
      </c>
      <c r="B54">
        <v>3.8</v>
      </c>
      <c r="C54">
        <v>16.899999999999999</v>
      </c>
      <c r="D54" t="s">
        <v>6</v>
      </c>
      <c r="E54">
        <v>43.7</v>
      </c>
      <c r="F54" t="s">
        <v>3</v>
      </c>
      <c r="G54">
        <f t="shared" si="0"/>
        <v>1</v>
      </c>
      <c r="H54">
        <f t="shared" si="1"/>
        <v>1</v>
      </c>
      <c r="I54">
        <f t="shared" si="2"/>
        <v>0</v>
      </c>
      <c r="J54">
        <f t="shared" si="3"/>
        <v>0</v>
      </c>
    </row>
    <row r="55" spans="1:10" x14ac:dyDescent="0.15">
      <c r="A55">
        <v>1990</v>
      </c>
      <c r="B55">
        <v>4</v>
      </c>
      <c r="C55">
        <v>24.1</v>
      </c>
      <c r="D55" t="s">
        <v>14</v>
      </c>
      <c r="E55">
        <v>41.4</v>
      </c>
      <c r="F55" t="s">
        <v>16</v>
      </c>
      <c r="G55">
        <f t="shared" si="0"/>
        <v>1</v>
      </c>
      <c r="H55">
        <f t="shared" si="1"/>
        <v>1</v>
      </c>
      <c r="I55">
        <f t="shared" si="2"/>
        <v>0</v>
      </c>
      <c r="J55">
        <f t="shared" si="3"/>
        <v>0</v>
      </c>
    </row>
    <row r="56" spans="1:10" x14ac:dyDescent="0.15">
      <c r="A56">
        <v>1991</v>
      </c>
      <c r="B56">
        <v>3.9</v>
      </c>
      <c r="C56">
        <v>16.3</v>
      </c>
      <c r="D56" t="s">
        <v>4</v>
      </c>
      <c r="E56">
        <v>34.799999999999997</v>
      </c>
      <c r="F56" t="s">
        <v>17</v>
      </c>
      <c r="G56">
        <f t="shared" si="0"/>
        <v>1</v>
      </c>
      <c r="H56">
        <f t="shared" si="1"/>
        <v>1</v>
      </c>
      <c r="I56">
        <f t="shared" si="2"/>
        <v>1</v>
      </c>
      <c r="J56">
        <f t="shared" si="3"/>
        <v>0</v>
      </c>
    </row>
    <row r="57" spans="1:10" x14ac:dyDescent="0.15">
      <c r="A57">
        <v>1992</v>
      </c>
      <c r="B57">
        <v>3.8</v>
      </c>
      <c r="C57">
        <v>19</v>
      </c>
      <c r="D57" t="s">
        <v>4</v>
      </c>
      <c r="E57">
        <v>37.700000000000003</v>
      </c>
      <c r="F57" t="s">
        <v>7</v>
      </c>
      <c r="G57">
        <f t="shared" si="0"/>
        <v>1</v>
      </c>
      <c r="H57">
        <f t="shared" si="1"/>
        <v>1</v>
      </c>
      <c r="I57">
        <f t="shared" si="2"/>
        <v>0</v>
      </c>
      <c r="J57">
        <f t="shared" si="3"/>
        <v>0</v>
      </c>
    </row>
    <row r="58" spans="1:10" x14ac:dyDescent="0.15">
      <c r="A58">
        <v>1993</v>
      </c>
      <c r="B58" t="s">
        <v>18</v>
      </c>
      <c r="C58" t="s">
        <v>19</v>
      </c>
      <c r="D58" t="s">
        <v>8</v>
      </c>
      <c r="E58" t="s">
        <v>20</v>
      </c>
      <c r="F58" t="s">
        <v>17</v>
      </c>
      <c r="G58">
        <f t="shared" si="0"/>
        <v>1</v>
      </c>
      <c r="H58">
        <f t="shared" si="1"/>
        <v>1</v>
      </c>
      <c r="I58">
        <f t="shared" si="2"/>
        <v>0</v>
      </c>
      <c r="J58">
        <f t="shared" si="3"/>
        <v>1</v>
      </c>
    </row>
    <row r="59" spans="1:10" x14ac:dyDescent="0.15">
      <c r="A59">
        <v>1994</v>
      </c>
      <c r="B59">
        <v>3.9</v>
      </c>
      <c r="C59">
        <v>18.600000000000001</v>
      </c>
      <c r="D59" t="s">
        <v>5</v>
      </c>
      <c r="E59">
        <v>36.6</v>
      </c>
      <c r="F59" t="s">
        <v>15</v>
      </c>
      <c r="G59">
        <f t="shared" si="0"/>
        <v>1</v>
      </c>
      <c r="H59">
        <f t="shared" si="1"/>
        <v>1</v>
      </c>
      <c r="I59">
        <f t="shared" si="2"/>
        <v>1</v>
      </c>
      <c r="J59">
        <f t="shared" si="3"/>
        <v>0</v>
      </c>
    </row>
    <row r="60" spans="1:10" x14ac:dyDescent="0.15">
      <c r="A60">
        <v>1995</v>
      </c>
      <c r="B60">
        <v>3.8</v>
      </c>
      <c r="C60">
        <v>16.3</v>
      </c>
      <c r="D60" t="s">
        <v>5</v>
      </c>
      <c r="E60">
        <v>28.4</v>
      </c>
      <c r="F60" t="s">
        <v>14</v>
      </c>
      <c r="G60">
        <f t="shared" si="0"/>
        <v>1</v>
      </c>
      <c r="H60">
        <f t="shared" si="1"/>
        <v>1</v>
      </c>
      <c r="I60">
        <f t="shared" si="2"/>
        <v>0</v>
      </c>
      <c r="J60">
        <f t="shared" si="3"/>
        <v>0</v>
      </c>
    </row>
    <row r="61" spans="1:10" x14ac:dyDescent="0.15">
      <c r="A61">
        <v>1996</v>
      </c>
      <c r="B61">
        <v>3.7</v>
      </c>
      <c r="C61">
        <v>27.1</v>
      </c>
      <c r="D61" t="s">
        <v>15</v>
      </c>
      <c r="E61">
        <v>54.3</v>
      </c>
      <c r="F61" t="s">
        <v>15</v>
      </c>
      <c r="G61">
        <f t="shared" si="0"/>
        <v>1</v>
      </c>
      <c r="H61">
        <f t="shared" si="1"/>
        <v>1</v>
      </c>
      <c r="I61">
        <f t="shared" si="2"/>
        <v>0</v>
      </c>
      <c r="J61">
        <f t="shared" si="3"/>
        <v>0</v>
      </c>
    </row>
    <row r="62" spans="1:10" x14ac:dyDescent="0.15">
      <c r="A62">
        <v>1997</v>
      </c>
      <c r="B62">
        <v>3.7</v>
      </c>
      <c r="C62">
        <v>16.7</v>
      </c>
      <c r="D62" t="s">
        <v>14</v>
      </c>
      <c r="E62">
        <v>41</v>
      </c>
      <c r="F62" t="s">
        <v>7</v>
      </c>
      <c r="G62">
        <f t="shared" si="0"/>
        <v>1</v>
      </c>
      <c r="H62">
        <f t="shared" si="1"/>
        <v>1</v>
      </c>
      <c r="I62">
        <f t="shared" si="2"/>
        <v>1</v>
      </c>
      <c r="J62">
        <f t="shared" si="3"/>
        <v>0</v>
      </c>
    </row>
    <row r="63" spans="1:10" x14ac:dyDescent="0.15">
      <c r="A63">
        <v>1998</v>
      </c>
      <c r="B63">
        <v>3.4</v>
      </c>
      <c r="C63">
        <v>16.5</v>
      </c>
      <c r="D63" t="s">
        <v>7</v>
      </c>
      <c r="E63">
        <v>34</v>
      </c>
      <c r="F63" t="s">
        <v>0</v>
      </c>
      <c r="G63">
        <f t="shared" si="0"/>
        <v>1</v>
      </c>
      <c r="H63">
        <f t="shared" si="1"/>
        <v>1</v>
      </c>
      <c r="I63">
        <f t="shared" si="2"/>
        <v>0</v>
      </c>
      <c r="J63">
        <f t="shared" si="3"/>
        <v>0</v>
      </c>
    </row>
    <row r="64" spans="1:10" x14ac:dyDescent="0.15">
      <c r="A64">
        <v>1999</v>
      </c>
      <c r="B64">
        <v>3.7</v>
      </c>
      <c r="C64">
        <v>16.2</v>
      </c>
      <c r="D64" t="s">
        <v>16</v>
      </c>
      <c r="E64">
        <v>32.200000000000003</v>
      </c>
      <c r="F64" t="s">
        <v>7</v>
      </c>
      <c r="G64">
        <f t="shared" si="0"/>
        <v>1</v>
      </c>
      <c r="H64">
        <f t="shared" si="1"/>
        <v>1</v>
      </c>
      <c r="I64">
        <f t="shared" si="2"/>
        <v>0</v>
      </c>
      <c r="J64">
        <f t="shared" si="3"/>
        <v>0</v>
      </c>
    </row>
    <row r="65" spans="1:10" x14ac:dyDescent="0.15">
      <c r="A65">
        <v>2000</v>
      </c>
      <c r="B65">
        <v>3.7</v>
      </c>
      <c r="C65">
        <v>16.8</v>
      </c>
      <c r="D65" t="s">
        <v>1</v>
      </c>
      <c r="E65">
        <v>28.6</v>
      </c>
      <c r="F65" t="s">
        <v>4</v>
      </c>
      <c r="G65">
        <f t="shared" si="0"/>
        <v>1</v>
      </c>
      <c r="H65">
        <f t="shared" si="1"/>
        <v>1</v>
      </c>
      <c r="I65">
        <f t="shared" si="2"/>
        <v>0</v>
      </c>
      <c r="J65">
        <f t="shared" si="3"/>
        <v>0</v>
      </c>
    </row>
    <row r="66" spans="1:10" x14ac:dyDescent="0.15">
      <c r="A66">
        <v>2001</v>
      </c>
      <c r="B66">
        <v>3.6</v>
      </c>
      <c r="C66">
        <v>16.399999999999999</v>
      </c>
      <c r="D66" t="s">
        <v>23</v>
      </c>
      <c r="E66">
        <v>29.5</v>
      </c>
      <c r="F66" t="s">
        <v>14</v>
      </c>
      <c r="G66">
        <f t="shared" si="0"/>
        <v>1</v>
      </c>
      <c r="H66">
        <f t="shared" si="1"/>
        <v>1</v>
      </c>
      <c r="I66">
        <f t="shared" si="2"/>
        <v>0</v>
      </c>
      <c r="J66">
        <f t="shared" si="3"/>
        <v>0</v>
      </c>
    </row>
    <row r="67" spans="1:10" x14ac:dyDescent="0.15">
      <c r="A67">
        <v>2002</v>
      </c>
      <c r="B67">
        <v>4.9000000000000004</v>
      </c>
      <c r="C67">
        <v>25.1</v>
      </c>
      <c r="D67" t="s">
        <v>23</v>
      </c>
      <c r="E67">
        <v>47.1</v>
      </c>
      <c r="F67" t="s">
        <v>7</v>
      </c>
      <c r="G67">
        <f t="shared" si="0"/>
        <v>1</v>
      </c>
      <c r="H67">
        <f t="shared" si="1"/>
        <v>1</v>
      </c>
      <c r="I67">
        <f t="shared" si="2"/>
        <v>0</v>
      </c>
      <c r="J67">
        <f t="shared" si="3"/>
        <v>0</v>
      </c>
    </row>
    <row r="68" spans="1:10" x14ac:dyDescent="0.15">
      <c r="A68">
        <v>2003</v>
      </c>
      <c r="B68">
        <v>5.3</v>
      </c>
      <c r="C68">
        <v>21.7</v>
      </c>
      <c r="D68" t="s">
        <v>1</v>
      </c>
      <c r="E68">
        <v>38.299999999999997</v>
      </c>
      <c r="F68" t="s">
        <v>0</v>
      </c>
      <c r="G68">
        <f t="shared" si="0"/>
        <v>1</v>
      </c>
      <c r="H68">
        <f t="shared" si="1"/>
        <v>1</v>
      </c>
      <c r="I68">
        <f t="shared" si="2"/>
        <v>1</v>
      </c>
      <c r="J68">
        <f t="shared" si="3"/>
        <v>0</v>
      </c>
    </row>
    <row r="69" spans="1:10" x14ac:dyDescent="0.15">
      <c r="A69">
        <v>2004</v>
      </c>
      <c r="B69">
        <v>5.4</v>
      </c>
      <c r="C69">
        <v>31.8</v>
      </c>
      <c r="D69" t="s">
        <v>23</v>
      </c>
      <c r="E69">
        <v>50.6</v>
      </c>
      <c r="F69" t="s">
        <v>15</v>
      </c>
      <c r="G69">
        <f t="shared" si="0"/>
        <v>1</v>
      </c>
      <c r="H69">
        <f t="shared" si="1"/>
        <v>1</v>
      </c>
      <c r="I69">
        <f t="shared" si="2"/>
        <v>1</v>
      </c>
      <c r="J69">
        <f t="shared" si="3"/>
        <v>1</v>
      </c>
    </row>
    <row r="70" spans="1:10" x14ac:dyDescent="0.15">
      <c r="A70">
        <v>2005</v>
      </c>
      <c r="B70">
        <v>5.3</v>
      </c>
      <c r="C70">
        <v>32.200000000000003</v>
      </c>
      <c r="D70" t="s">
        <v>1</v>
      </c>
      <c r="E70">
        <v>58.1</v>
      </c>
      <c r="F70" t="s">
        <v>5</v>
      </c>
      <c r="G70">
        <f t="shared" si="0"/>
        <v>1</v>
      </c>
      <c r="H70">
        <f t="shared" si="1"/>
        <v>1</v>
      </c>
      <c r="I70">
        <f t="shared" si="2"/>
        <v>1</v>
      </c>
      <c r="J70">
        <f t="shared" si="3"/>
        <v>1</v>
      </c>
    </row>
    <row r="71" spans="1:10" x14ac:dyDescent="0.15">
      <c r="A71">
        <v>2006</v>
      </c>
      <c r="B71">
        <v>5.2</v>
      </c>
      <c r="C71">
        <v>19.600000000000001</v>
      </c>
      <c r="D71" t="s">
        <v>16</v>
      </c>
      <c r="E71">
        <v>35.200000000000003</v>
      </c>
      <c r="F71" t="s">
        <v>16</v>
      </c>
      <c r="G71">
        <f t="shared" si="0"/>
        <v>1</v>
      </c>
      <c r="H71">
        <f t="shared" si="1"/>
        <v>1</v>
      </c>
      <c r="I71">
        <f t="shared" si="2"/>
        <v>1</v>
      </c>
      <c r="J71">
        <f t="shared" si="3"/>
        <v>0</v>
      </c>
    </row>
    <row r="72" spans="1:10" x14ac:dyDescent="0.15">
      <c r="A72">
        <v>2007</v>
      </c>
      <c r="B72">
        <v>5.2</v>
      </c>
      <c r="C72">
        <v>27.8</v>
      </c>
      <c r="D72" t="s">
        <v>1</v>
      </c>
      <c r="E72">
        <v>47.2</v>
      </c>
      <c r="F72" t="s">
        <v>7</v>
      </c>
      <c r="G72">
        <f t="shared" si="0"/>
        <v>1</v>
      </c>
      <c r="H72">
        <f t="shared" si="1"/>
        <v>1</v>
      </c>
      <c r="I72">
        <f t="shared" si="2"/>
        <v>0</v>
      </c>
      <c r="J72">
        <f t="shared" si="3"/>
        <v>0</v>
      </c>
    </row>
    <row r="73" spans="1:10" x14ac:dyDescent="0.15">
      <c r="A73">
        <v>2008</v>
      </c>
      <c r="B73">
        <v>5.0999999999999996</v>
      </c>
      <c r="C73" t="s">
        <v>21</v>
      </c>
      <c r="D73" t="s">
        <v>15</v>
      </c>
      <c r="E73" t="s">
        <v>22</v>
      </c>
      <c r="F73" t="s">
        <v>7</v>
      </c>
      <c r="G73">
        <f t="shared" si="0"/>
        <v>1</v>
      </c>
      <c r="H73">
        <f t="shared" si="1"/>
        <v>1</v>
      </c>
      <c r="I73">
        <f t="shared" si="2"/>
        <v>1</v>
      </c>
      <c r="J73">
        <f t="shared" si="3"/>
        <v>1</v>
      </c>
    </row>
    <row r="74" spans="1:10" x14ac:dyDescent="0.15">
      <c r="A74">
        <v>2009</v>
      </c>
      <c r="B74">
        <v>5</v>
      </c>
      <c r="C74">
        <v>26</v>
      </c>
      <c r="D74" t="s">
        <v>5</v>
      </c>
      <c r="E74">
        <v>35</v>
      </c>
      <c r="F74" t="s">
        <v>1</v>
      </c>
      <c r="G74">
        <f t="shared" si="0"/>
        <v>1</v>
      </c>
      <c r="H74">
        <f t="shared" si="1"/>
        <v>1</v>
      </c>
      <c r="I74">
        <f t="shared" si="2"/>
        <v>1</v>
      </c>
      <c r="J74">
        <f t="shared" si="3"/>
        <v>0</v>
      </c>
    </row>
    <row r="75" spans="1:10" x14ac:dyDescent="0.15">
      <c r="A75">
        <v>2010</v>
      </c>
      <c r="B75">
        <v>4.9000000000000004</v>
      </c>
      <c r="C75">
        <v>19.399999999999999</v>
      </c>
      <c r="D75" t="s">
        <v>23</v>
      </c>
      <c r="E75">
        <v>26.7</v>
      </c>
      <c r="F75" t="s">
        <v>16</v>
      </c>
      <c r="G75">
        <f t="shared" si="0"/>
        <v>1</v>
      </c>
      <c r="H75">
        <f t="shared" si="1"/>
        <v>1</v>
      </c>
      <c r="I75">
        <f t="shared" si="2"/>
        <v>1</v>
      </c>
      <c r="J75">
        <f t="shared" si="3"/>
        <v>0</v>
      </c>
    </row>
    <row r="76" spans="1:10" x14ac:dyDescent="0.15">
      <c r="A76">
        <v>2011</v>
      </c>
      <c r="B76">
        <v>5.2</v>
      </c>
      <c r="C76">
        <v>27.8</v>
      </c>
      <c r="D76" t="s">
        <v>15</v>
      </c>
      <c r="E76">
        <v>35</v>
      </c>
      <c r="F76" t="s">
        <v>23</v>
      </c>
      <c r="G76">
        <f t="shared" si="0"/>
        <v>1</v>
      </c>
      <c r="H76">
        <f t="shared" si="1"/>
        <v>1</v>
      </c>
      <c r="I76">
        <f t="shared" si="2"/>
        <v>0</v>
      </c>
      <c r="J76">
        <f t="shared" si="3"/>
        <v>0</v>
      </c>
    </row>
    <row r="77" spans="1:10" x14ac:dyDescent="0.15">
      <c r="A77">
        <v>2012</v>
      </c>
      <c r="B77">
        <v>5.2</v>
      </c>
      <c r="C77" t="s">
        <v>24</v>
      </c>
      <c r="D77" t="s">
        <v>13</v>
      </c>
      <c r="E77">
        <v>31.9</v>
      </c>
      <c r="F77" t="s">
        <v>1</v>
      </c>
      <c r="G77">
        <f t="shared" si="0"/>
        <v>1</v>
      </c>
      <c r="H77">
        <f t="shared" si="1"/>
        <v>1</v>
      </c>
      <c r="I77">
        <f t="shared" si="2"/>
        <v>1</v>
      </c>
      <c r="J77">
        <f t="shared" si="3"/>
        <v>1</v>
      </c>
    </row>
    <row r="78" spans="1:10" x14ac:dyDescent="0.15">
      <c r="A78">
        <v>2013</v>
      </c>
      <c r="B78">
        <v>5</v>
      </c>
      <c r="C78">
        <v>19.899999999999999</v>
      </c>
      <c r="D78" t="s">
        <v>6</v>
      </c>
      <c r="E78">
        <v>26.7</v>
      </c>
      <c r="F78" t="s">
        <v>4</v>
      </c>
      <c r="G78">
        <f t="shared" si="0"/>
        <v>1</v>
      </c>
      <c r="H78">
        <f t="shared" si="1"/>
        <v>1</v>
      </c>
      <c r="I78">
        <f t="shared" si="2"/>
        <v>1</v>
      </c>
      <c r="J78">
        <f t="shared" si="3"/>
        <v>0</v>
      </c>
    </row>
    <row r="79" spans="1:10" x14ac:dyDescent="0.15">
      <c r="A79">
        <v>2014</v>
      </c>
      <c r="B79">
        <v>5.0999999999999996</v>
      </c>
      <c r="C79">
        <v>31.7</v>
      </c>
      <c r="D79" t="s">
        <v>8</v>
      </c>
      <c r="E79">
        <v>43.7</v>
      </c>
      <c r="F79" t="s">
        <v>1</v>
      </c>
      <c r="G79">
        <f t="shared" si="0"/>
        <v>1</v>
      </c>
      <c r="H79">
        <f t="shared" si="1"/>
        <v>1</v>
      </c>
      <c r="I79">
        <f t="shared" si="2"/>
        <v>0</v>
      </c>
      <c r="J79">
        <f t="shared" si="3"/>
        <v>1</v>
      </c>
    </row>
    <row r="80" spans="1:10" x14ac:dyDescent="0.15">
      <c r="A80">
        <v>2015</v>
      </c>
      <c r="B80">
        <v>4.8</v>
      </c>
      <c r="C80">
        <v>20.3</v>
      </c>
      <c r="D80" t="s">
        <v>15</v>
      </c>
      <c r="E80">
        <v>34</v>
      </c>
      <c r="F80" t="s">
        <v>16</v>
      </c>
      <c r="G80">
        <f t="shared" si="0"/>
        <v>1</v>
      </c>
      <c r="H80">
        <f t="shared" si="1"/>
        <v>1</v>
      </c>
      <c r="I80">
        <f t="shared" si="2"/>
        <v>1</v>
      </c>
      <c r="J80">
        <f t="shared" si="3"/>
        <v>0</v>
      </c>
    </row>
    <row r="81" spans="1:10" x14ac:dyDescent="0.15">
      <c r="A81">
        <v>2016</v>
      </c>
      <c r="B81">
        <v>4.5999999999999996</v>
      </c>
      <c r="C81">
        <v>20.8</v>
      </c>
      <c r="D81" t="s">
        <v>4</v>
      </c>
      <c r="E81">
        <v>32.9</v>
      </c>
      <c r="F81" t="s">
        <v>16</v>
      </c>
      <c r="G81">
        <f t="shared" ref="G81:G90" si="4">IF(C81&gt;10,1,0)</f>
        <v>1</v>
      </c>
      <c r="H81">
        <f t="shared" si="1"/>
        <v>1</v>
      </c>
      <c r="I81">
        <f t="shared" si="2"/>
        <v>1</v>
      </c>
      <c r="J81">
        <f t="shared" si="3"/>
        <v>0</v>
      </c>
    </row>
    <row r="82" spans="1:10" x14ac:dyDescent="0.15">
      <c r="A82">
        <v>2017</v>
      </c>
      <c r="B82">
        <v>4.9000000000000004</v>
      </c>
      <c r="C82">
        <v>25.4</v>
      </c>
      <c r="E82">
        <v>39.6</v>
      </c>
      <c r="F82" t="s">
        <v>15</v>
      </c>
      <c r="G82">
        <f t="shared" si="4"/>
        <v>1</v>
      </c>
      <c r="H82">
        <f t="shared" si="1"/>
        <v>1</v>
      </c>
      <c r="I82">
        <f t="shared" si="2"/>
        <v>1</v>
      </c>
      <c r="J82">
        <f t="shared" si="3"/>
        <v>0</v>
      </c>
    </row>
    <row r="83" spans="1:10" x14ac:dyDescent="0.15">
      <c r="A83">
        <v>2018</v>
      </c>
      <c r="B83">
        <v>4.9000000000000004</v>
      </c>
      <c r="C83">
        <v>31.7</v>
      </c>
      <c r="E83">
        <v>44.8</v>
      </c>
      <c r="F83" t="s">
        <v>15</v>
      </c>
      <c r="G83">
        <f t="shared" si="4"/>
        <v>1</v>
      </c>
      <c r="H83">
        <f t="shared" si="1"/>
        <v>1</v>
      </c>
      <c r="I83">
        <f t="shared" si="2"/>
        <v>1</v>
      </c>
      <c r="J83">
        <f t="shared" si="3"/>
        <v>1</v>
      </c>
    </row>
    <row r="84" spans="1:10" x14ac:dyDescent="0.15">
      <c r="A84">
        <v>2019</v>
      </c>
      <c r="B84">
        <v>4.9000000000000004</v>
      </c>
      <c r="C84">
        <v>20.5</v>
      </c>
      <c r="E84">
        <v>27.8</v>
      </c>
      <c r="F84" t="s">
        <v>4</v>
      </c>
      <c r="G84">
        <f t="shared" si="4"/>
        <v>1</v>
      </c>
      <c r="H84">
        <f t="shared" si="1"/>
        <v>1</v>
      </c>
      <c r="I84">
        <f t="shared" si="2"/>
        <v>1</v>
      </c>
      <c r="J84">
        <f t="shared" si="3"/>
        <v>0</v>
      </c>
    </row>
    <row r="85" spans="1:10" x14ac:dyDescent="0.15">
      <c r="A85">
        <v>2020</v>
      </c>
      <c r="B85">
        <v>4.8</v>
      </c>
      <c r="C85">
        <v>30.4</v>
      </c>
      <c r="E85">
        <v>44.8</v>
      </c>
      <c r="F85" t="s">
        <v>15</v>
      </c>
      <c r="G85">
        <f t="shared" si="4"/>
        <v>1</v>
      </c>
      <c r="H85">
        <f t="shared" si="1"/>
        <v>1</v>
      </c>
      <c r="I85">
        <f t="shared" si="2"/>
        <v>1</v>
      </c>
      <c r="J85">
        <f t="shared" si="3"/>
        <v>1</v>
      </c>
    </row>
    <row r="86" spans="1:10" x14ac:dyDescent="0.15">
      <c r="A86">
        <v>2021</v>
      </c>
      <c r="B86">
        <v>4.7</v>
      </c>
      <c r="C86">
        <v>22.3</v>
      </c>
      <c r="E86">
        <v>28.8</v>
      </c>
      <c r="F86" t="s">
        <v>0</v>
      </c>
      <c r="G86">
        <f t="shared" si="4"/>
        <v>1</v>
      </c>
      <c r="H86">
        <f t="shared" si="1"/>
        <v>1</v>
      </c>
      <c r="I86">
        <f t="shared" si="2"/>
        <v>1</v>
      </c>
      <c r="J86">
        <f t="shared" si="3"/>
        <v>0</v>
      </c>
    </row>
    <row r="87" spans="1:10" x14ac:dyDescent="0.15">
      <c r="A87">
        <v>2022</v>
      </c>
      <c r="B87">
        <v>4.7</v>
      </c>
      <c r="C87">
        <v>36.6</v>
      </c>
      <c r="E87">
        <v>50.9</v>
      </c>
      <c r="F87" t="s">
        <v>6</v>
      </c>
      <c r="G87">
        <f t="shared" si="4"/>
        <v>1</v>
      </c>
      <c r="H87">
        <f t="shared" si="1"/>
        <v>1</v>
      </c>
      <c r="I87">
        <f t="shared" si="2"/>
        <v>1</v>
      </c>
      <c r="J87">
        <f t="shared" si="3"/>
        <v>1</v>
      </c>
    </row>
    <row r="88" spans="1:10" x14ac:dyDescent="0.15">
      <c r="A88">
        <v>2023</v>
      </c>
      <c r="B88">
        <v>3.9</v>
      </c>
      <c r="C88">
        <v>24</v>
      </c>
      <c r="E88">
        <v>34</v>
      </c>
      <c r="F88" t="s">
        <v>15</v>
      </c>
      <c r="G88">
        <f t="shared" si="4"/>
        <v>1</v>
      </c>
      <c r="H88">
        <f t="shared" si="1"/>
        <v>1</v>
      </c>
      <c r="I88">
        <f t="shared" si="2"/>
        <v>1</v>
      </c>
      <c r="J88">
        <f t="shared" si="3"/>
        <v>0</v>
      </c>
    </row>
    <row r="89" spans="1:10" x14ac:dyDescent="0.15">
      <c r="A89">
        <v>2024</v>
      </c>
      <c r="B89">
        <v>3.9</v>
      </c>
      <c r="C89">
        <v>32.1</v>
      </c>
      <c r="E89">
        <v>46.8</v>
      </c>
      <c r="F89" t="s">
        <v>8</v>
      </c>
      <c r="G89">
        <f t="shared" si="4"/>
        <v>1</v>
      </c>
      <c r="H89">
        <f t="shared" si="1"/>
        <v>1</v>
      </c>
      <c r="I89">
        <f t="shared" si="2"/>
        <v>1</v>
      </c>
      <c r="J89">
        <f t="shared" si="3"/>
        <v>1</v>
      </c>
    </row>
    <row r="90" spans="1:10" x14ac:dyDescent="0.15">
      <c r="A90">
        <v>2025</v>
      </c>
      <c r="B90" t="s">
        <v>25</v>
      </c>
      <c r="C90" t="s">
        <v>26</v>
      </c>
      <c r="E90" t="s">
        <v>27</v>
      </c>
      <c r="F90" t="s">
        <v>4</v>
      </c>
      <c r="G90">
        <f t="shared" si="4"/>
        <v>1</v>
      </c>
      <c r="H90">
        <f t="shared" ref="H90" si="5">IF(C90&gt;15,1,0)</f>
        <v>1</v>
      </c>
      <c r="I90">
        <f t="shared" ref="I90" si="6">IF(C89&gt;20,1,0)</f>
        <v>1</v>
      </c>
      <c r="J90">
        <f t="shared" ref="J90" si="7">IF(C90&gt;30,1,0)</f>
        <v>1</v>
      </c>
    </row>
    <row r="91" spans="1:10" x14ac:dyDescent="0.15">
      <c r="A91" t="s">
        <v>32</v>
      </c>
      <c r="B91">
        <f>MAX(B2:B90)</f>
        <v>5.6</v>
      </c>
      <c r="C91">
        <f t="shared" ref="C91:E91" si="8">MAX(C2:C90)</f>
        <v>50.2</v>
      </c>
      <c r="E91">
        <f t="shared" si="8"/>
        <v>61.2</v>
      </c>
      <c r="G91">
        <f>COUNTIF(G25:G90,1)</f>
        <v>66</v>
      </c>
      <c r="H91">
        <f t="shared" ref="H91:J91" si="9">COUNTIF(H25:H90,1)</f>
        <v>64</v>
      </c>
      <c r="I91">
        <f t="shared" si="9"/>
        <v>45</v>
      </c>
      <c r="J91">
        <f t="shared" si="9"/>
        <v>18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>
      <selection activeCell="C10" sqref="C10:C14"/>
    </sheetView>
  </sheetViews>
  <sheetFormatPr defaultRowHeight="13.5" x14ac:dyDescent="0.15"/>
  <cols>
    <col min="3" max="3" width="17.25" customWidth="1"/>
  </cols>
  <sheetData>
    <row r="1" spans="1:3" x14ac:dyDescent="0.15">
      <c r="A1" t="s">
        <v>9</v>
      </c>
    </row>
    <row r="2" spans="1:3" x14ac:dyDescent="0.15">
      <c r="A2">
        <v>50.2</v>
      </c>
      <c r="B2" t="s">
        <v>6</v>
      </c>
      <c r="C2" s="1">
        <v>23644</v>
      </c>
    </row>
    <row r="3" spans="1:3" x14ac:dyDescent="0.15">
      <c r="A3">
        <v>49.1</v>
      </c>
      <c r="B3" t="s">
        <v>6</v>
      </c>
      <c r="C3" s="1">
        <v>20361</v>
      </c>
    </row>
    <row r="4" spans="1:3" x14ac:dyDescent="0.15">
      <c r="A4">
        <v>47.3</v>
      </c>
      <c r="B4" t="s">
        <v>6</v>
      </c>
      <c r="C4" s="1">
        <v>15937</v>
      </c>
    </row>
    <row r="5" spans="1:3" x14ac:dyDescent="0.15">
      <c r="A5">
        <v>43.8</v>
      </c>
      <c r="B5" t="s">
        <v>5</v>
      </c>
      <c r="C5" s="1">
        <v>15580</v>
      </c>
    </row>
    <row r="6" spans="1:3" x14ac:dyDescent="0.15">
      <c r="A6">
        <v>41.3</v>
      </c>
      <c r="B6" t="s">
        <v>6</v>
      </c>
      <c r="C6" s="1">
        <v>26149</v>
      </c>
    </row>
    <row r="9" spans="1:3" x14ac:dyDescent="0.15">
      <c r="A9" t="s">
        <v>10</v>
      </c>
    </row>
    <row r="10" spans="1:3" x14ac:dyDescent="0.15">
      <c r="A10">
        <v>68.5</v>
      </c>
      <c r="B10" t="s">
        <v>6</v>
      </c>
      <c r="C10" s="1">
        <v>23644</v>
      </c>
    </row>
    <row r="11" spans="1:3" x14ac:dyDescent="0.15">
      <c r="A11">
        <v>65</v>
      </c>
      <c r="B11" t="s">
        <v>12</v>
      </c>
      <c r="C11" s="1">
        <v>21069</v>
      </c>
    </row>
    <row r="12" spans="1:3" x14ac:dyDescent="0.15">
      <c r="A12">
        <v>61.2</v>
      </c>
      <c r="B12" t="s">
        <v>6</v>
      </c>
      <c r="C12" s="1">
        <v>26149</v>
      </c>
    </row>
    <row r="13" spans="1:3" x14ac:dyDescent="0.15">
      <c r="A13">
        <v>58.2</v>
      </c>
      <c r="B13" t="s">
        <v>6</v>
      </c>
      <c r="C13" s="1">
        <v>15937</v>
      </c>
    </row>
    <row r="14" spans="1:3" x14ac:dyDescent="0.15">
      <c r="A14">
        <v>58.1</v>
      </c>
      <c r="B14" t="s">
        <v>5</v>
      </c>
      <c r="C14" s="1">
        <v>38601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2025-05-12T08:00:00Z</dcterms:modified>
</cp:coreProperties>
</file>